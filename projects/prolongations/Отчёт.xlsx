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ekin\OneDrive\Рабочий стол\"/>
    </mc:Choice>
  </mc:AlternateContent>
  <xr:revisionPtr revIDLastSave="0" documentId="13_ncr:1_{0CF454CF-38F7-48B3-8F76-9EFB5354380A}" xr6:coauthVersionLast="47" xr6:coauthVersionMax="47" xr10:uidLastSave="{00000000-0000-0000-0000-000000000000}"/>
  <bookViews>
    <workbookView xWindow="-98" yWindow="-98" windowWidth="25996" windowHeight="10276" firstSheet="1" activeTab="1" xr2:uid="{00000000-000D-0000-FFFF-FFFF00000000}"/>
  </bookViews>
  <sheets>
    <sheet name="Отчёт по всей компании" sheetId="2" r:id="rId1"/>
    <sheet name="Отчёт по сотрудникам за месяц" sheetId="4" r:id="rId2"/>
    <sheet name="Отчёт по сотрудникам за год" sheetId="3" r:id="rId3"/>
  </sheets>
  <definedNames>
    <definedName name="ExternalData_1" localSheetId="0" hidden="1">'Отчёт по всей компании'!$B$4:$E$16</definedName>
    <definedName name="ExternalData_1" localSheetId="2" hidden="1">'Отчёт по сотрудникам за год'!$B$5:$D$15</definedName>
    <definedName name="ExternalData_1" localSheetId="1" hidden="1">'Отчёт по сотрудникам за месяц'!$A$1:$E$121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DE6251-0B9A-4839-8657-8BB6D498388E}" keepAlive="1" name="Запрос — prolong_for_all_company" description="Соединение с запросом &quot;prolong_for_all_company&quot; в книге." type="5" refreshedVersion="8" background="1" saveData="1">
    <dbPr connection="Provider=Microsoft.Mashup.OleDb.1;Data Source=$Workbook$;Location=prolong_for_all_company;Extended Properties=&quot;&quot;" command="SELECT * FROM [prolong_for_all_company]"/>
  </connection>
  <connection id="2" xr16:uid="{DBE980D9-D1C3-40AB-B84C-8585BB4710F8}" keepAlive="1" name="Запрос — prolong_for_all_manager_month" description="Соединение с запросом &quot;prolong_for_all_manager_month&quot; в книге." type="5" refreshedVersion="8" background="1" saveData="1">
    <dbPr connection="Provider=Microsoft.Mashup.OleDb.1;Data Source=$Workbook$;Location=prolong_for_all_manager_month;Extended Properties=&quot;&quot;" command="SELECT * FROM [prolong_for_all_manager_month]"/>
  </connection>
  <connection id="3" xr16:uid="{C6E8BC3C-CB83-4C46-9A7B-A69AB26AC9DA}" keepAlive="1" name="Запрос — prolong_for_all_manager_year" description="Соединение с запросом &quot;prolong_for_all_manager_year&quot; в книге." type="5" refreshedVersion="8" background="1" saveData="1">
    <dbPr connection="Provider=Microsoft.Mashup.OleDb.1;Data Source=$Workbook$;Location=prolong_for_all_manager_year;Extended Properties=&quot;&quot;" command="SELECT * FROM [prolong_for_all_manager_year]"/>
  </connection>
</connections>
</file>

<file path=xl/sharedStrings.xml><?xml version="1.0" encoding="utf-8"?>
<sst xmlns="http://schemas.openxmlformats.org/spreadsheetml/2006/main" count="191" uniqueCount="35">
  <si>
    <t>Column1</t>
  </si>
  <si>
    <t>Месяц</t>
  </si>
  <si>
    <t>Коэффициент пролонгаций 1</t>
  </si>
  <si>
    <t>Коэффициент пролонгаций 2</t>
  </si>
  <si>
    <t>id</t>
  </si>
  <si>
    <t>Средний коэффициент пролонгации для проектов, пролонгированных 
в первый месяц за 2023 год</t>
  </si>
  <si>
    <t>Средний коэффициент пролонгации для проектов, пролонгированных 
во второй месяц зв 2023 год</t>
  </si>
  <si>
    <t>Менеджер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</si>
  <si>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</si>
  <si>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</si>
  <si>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</si>
  <si>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</si>
  <si>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</si>
  <si>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</si>
  <si>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</si>
  <si>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</si>
  <si>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</si>
  <si>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</si>
  <si>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Названия строк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</si>
  <si>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</si>
  <si>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</si>
  <si>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</si>
  <si>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</si>
  <si>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</si>
  <si>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</si>
  <si>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</si>
  <si>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</si>
  <si>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</si>
  <si>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</si>
  <si>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</si>
  <si>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</si>
  <si>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</si>
  <si>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(Все)</t>
  </si>
  <si>
    <t>Сумма по полю Коэффициент пролонгаций 1</t>
  </si>
  <si>
    <t>Сумма по полю Коэффициент пролонгаций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</si>
</sst>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/>
    <xf numFmtId="2" fontId="0" fillId="0" borderId="0" xfId="0" applyNumberFormat="1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" xfId="0" applyNumberFormat="1" applyBorder="1"/>
    <xf numFmtId="2" fontId="0" fillId="0" borderId="8" xfId="0" applyNumberFormat="1" applyBorder="1"/>
    <xf numFmtId="0" fontId="0" fillId="0" borderId="9" xfId="0" applyNumberFormat="1" applyBorder="1"/>
    <xf numFmtId="2" fontId="0" fillId="0" borderId="5" xfId="0" applyNumberFormat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3" xfId="0" applyFont="1" applyFill="1" applyBorder="1"/>
    <xf numFmtId="0" fontId="0" fillId="0" borderId="7" xfId="0" applyFont="1" applyFill="1" applyBorder="1"/>
    <xf numFmtId="0" fontId="0" fillId="0" borderId="1" xfId="0" applyNumberFormat="1" applyFont="1" applyFill="1" applyBorder="1"/>
    <xf numFmtId="2" fontId="0" fillId="0" borderId="8" xfId="0" applyNumberFormat="1" applyFont="1" applyFill="1" applyBorder="1"/>
    <xf numFmtId="0" fontId="0" fillId="0" borderId="4" xfId="0" applyFont="1" applyFill="1" applyBorder="1"/>
    <xf numFmtId="0" fontId="0" fillId="0" borderId="9" xfId="0" applyNumberFormat="1" applyFont="1" applyFill="1" applyBorder="1"/>
    <xf numFmtId="2" fontId="0" fillId="0" borderId="5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3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19" formatCode="dd/mm/yyyy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 пролонгации за</a:t>
            </a:r>
            <a:r>
              <a:rPr lang="ru-RU" baseline="0"/>
              <a:t> весь 2023 год</a:t>
            </a:r>
            <a:r>
              <a:rPr lang="ru-RU"/>
              <a:t> </a:t>
            </a:r>
            <a:r>
              <a:rPr lang="ru-RU" sz="1400" b="0" i="0" u="none" strike="noStrike" baseline="0">
                <a:effectLst/>
              </a:rPr>
              <a:t>для проектов, </a:t>
            </a:r>
          </a:p>
          <a:p>
            <a:pPr>
              <a:defRPr/>
            </a:pPr>
            <a:r>
              <a:rPr lang="ru-RU" sz="1400" b="0" i="0" u="none" strike="noStrike" baseline="0">
                <a:effectLst/>
              </a:rPr>
              <a:t>пролонгированных в первый месяц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'Отчёт по всей компании'!$D$4</c:f>
              <c:strCache>
                <c:ptCount val="1"/>
                <c:pt idx="0">
                  <c:v>Коэффициент пролонгаций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3.6754632975556221E-2"/>
                  <c:y val="-5.5821561251096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7C-4904-83EE-C79C08D852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'Отчёт по всей компании'!$C$5:$C$16</c:f>
              <c:numCache>
                <c:formatCode>m/d/yyyy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'Отчёт по всей компании'!$D$5:$D$16</c:f>
              <c:numCache>
                <c:formatCode>0.00</c:formatCode>
                <c:ptCount val="12"/>
                <c:pt idx="0">
                  <c:v>0.447156482388893</c:v>
                </c:pt>
                <c:pt idx="1">
                  <c:v>0.73789301258436601</c:v>
                </c:pt>
                <c:pt idx="2">
                  <c:v>0.66957166226326903</c:v>
                </c:pt>
                <c:pt idx="3">
                  <c:v>0.50358130971552795</c:v>
                </c:pt>
                <c:pt idx="4">
                  <c:v>0.580227105033149</c:v>
                </c:pt>
                <c:pt idx="5">
                  <c:v>0.26130676984008</c:v>
                </c:pt>
                <c:pt idx="6">
                  <c:v>0.52948213275650202</c:v>
                </c:pt>
                <c:pt idx="7">
                  <c:v>0.487206963453853</c:v>
                </c:pt>
                <c:pt idx="8">
                  <c:v>0.33513622005821397</c:v>
                </c:pt>
                <c:pt idx="9">
                  <c:v>0.81767756422994498</c:v>
                </c:pt>
                <c:pt idx="10">
                  <c:v>0.51788226676395699</c:v>
                </c:pt>
                <c:pt idx="11">
                  <c:v>0.54459542138602501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C-4904-83EE-C79C08D852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32087007"/>
        <c:axId val="1132087967"/>
      </c:lineChart>
      <c:dateAx>
        <c:axId val="1132087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087967"/>
        <c:crosses val="autoZero"/>
        <c:auto val="1"/>
        <c:lblOffset val="100"/>
        <c:baseTimeUnit val="months"/>
      </c:dateAx>
      <c:valAx>
        <c:axId val="11320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Коэфициент</a:t>
                </a:r>
                <a:r>
                  <a:rPr lang="ru-RU" baseline="0"/>
                  <a:t> пролонгации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08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 пролонгации за весь 2023</a:t>
            </a:r>
            <a:r>
              <a:rPr lang="ru-RU" baseline="0"/>
              <a:t> год</a:t>
            </a:r>
            <a:r>
              <a:rPr lang="ru-RU"/>
              <a:t> </a:t>
            </a:r>
            <a:r>
              <a:rPr lang="ru-RU" sz="1400" b="0" i="0" u="none" strike="noStrike" baseline="0">
                <a:effectLst/>
              </a:rPr>
              <a:t>для проектов,</a:t>
            </a:r>
          </a:p>
          <a:p>
            <a:pPr>
              <a:defRPr/>
            </a:pPr>
            <a:r>
              <a:rPr lang="ru-RU" sz="1400" b="0" i="0" u="none" strike="noStrike" baseline="0">
                <a:effectLst/>
              </a:rPr>
              <a:t> пролонгированных во второй месяц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'Отчёт по всей компании'!$E$4</c:f>
              <c:strCache>
                <c:ptCount val="1"/>
                <c:pt idx="0">
                  <c:v>Коэффициент пролонгаций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9110606856292597E-2"/>
                  <c:y val="-9.0644719722162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4F-4B7E-A3B2-4A502CE28687}"/>
                </c:ext>
              </c:extLst>
            </c:dLbl>
            <c:dLbl>
              <c:idx val="4"/>
              <c:layout>
                <c:manualLayout>
                  <c:x val="-1.1161888605590751E-2"/>
                  <c:y val="-8.6427218886965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4F-4B7E-A3B2-4A502CE28687}"/>
                </c:ext>
              </c:extLst>
            </c:dLbl>
            <c:dLbl>
              <c:idx val="8"/>
              <c:layout>
                <c:manualLayout>
                  <c:x val="-3.3597786418968073E-2"/>
                  <c:y val="-5.6904713040579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F-4B7E-A3B2-4A502CE28687}"/>
                </c:ext>
              </c:extLst>
            </c:dLbl>
            <c:dLbl>
              <c:idx val="10"/>
              <c:layout>
                <c:manualLayout>
                  <c:x val="-2.4623427293617231E-2"/>
                  <c:y val="-0.1032972222277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4F-4B7E-A3B2-4A502CE28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'Отчёт по всей компании'!$C$5:$C$16</c:f>
              <c:numCache>
                <c:formatCode>m/d/yyyy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'Отчёт по всей компании'!$E$5:$E$16</c:f>
              <c:numCache>
                <c:formatCode>0.00</c:formatCode>
                <c:ptCount val="12"/>
                <c:pt idx="0">
                  <c:v>0.134636766956196</c:v>
                </c:pt>
                <c:pt idx="1">
                  <c:v>9.0870627810364896E-2</c:v>
                </c:pt>
                <c:pt idx="2">
                  <c:v>0.161662109206857</c:v>
                </c:pt>
                <c:pt idx="3">
                  <c:v>9.2300094785219805E-2</c:v>
                </c:pt>
                <c:pt idx="4">
                  <c:v>0</c:v>
                </c:pt>
                <c:pt idx="5">
                  <c:v>3.8059007840357498E-2</c:v>
                </c:pt>
                <c:pt idx="6">
                  <c:v>0.106127894300557</c:v>
                </c:pt>
                <c:pt idx="7">
                  <c:v>3.6017215423464498E-2</c:v>
                </c:pt>
                <c:pt idx="8">
                  <c:v>0</c:v>
                </c:pt>
                <c:pt idx="9">
                  <c:v>0.112397017381968</c:v>
                </c:pt>
                <c:pt idx="10">
                  <c:v>1.8931474326249101E-2</c:v>
                </c:pt>
                <c:pt idx="11">
                  <c:v>0.155498109605513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F-4B7E-A3B2-4A502CE286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861472"/>
        <c:axId val="23632015"/>
      </c:lineChart>
      <c:dateAx>
        <c:axId val="9386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632015"/>
        <c:crosses val="autoZero"/>
        <c:auto val="1"/>
        <c:lblOffset val="100"/>
        <c:baseTimeUnit val="months"/>
      </c:dateAx>
      <c:valAx>
        <c:axId val="236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ru-RU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Коэфициент пролонгации </a:t>
                </a:r>
                <a:endParaRPr lang="ru-RU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6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[Лист Microsoft Excel (4).xlsx]Отчёт по сотрудникам за месяц!Сводная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Коэффициент пролонгации менеджеров для проектов,</a:t>
            </a:r>
          </a:p>
          <a:p>
            <a:pPr>
              <a:defRPr/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пролонгированных в первый месяц </a:t>
            </a:r>
            <a:endParaRPr lang="ru-RU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'Отчёт по сотрудникам за месяц'!$K$4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'Отчёт по сотрудникам за месяц'!$J$5:$J$17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'Отчёт по сотрудникам за месяц'!$K$5:$K$17</c:f>
              <c:numCache>
                <c:formatCode>General</c:formatCode>
                <c:ptCount val="12"/>
                <c:pt idx="0">
                  <c:v>1.1744350096526601</c:v>
                </c:pt>
                <c:pt idx="1">
                  <c:v>2.4884957548306161</c:v>
                </c:pt>
                <c:pt idx="2">
                  <c:v>2.0217244316449681</c:v>
                </c:pt>
                <c:pt idx="3">
                  <c:v>1.911007870754772</c:v>
                </c:pt>
                <c:pt idx="4">
                  <c:v>2.297960863185446</c:v>
                </c:pt>
                <c:pt idx="5">
                  <c:v>0.766422495274102</c:v>
                </c:pt>
                <c:pt idx="6">
                  <c:v>2.3670882645521196</c:v>
                </c:pt>
                <c:pt idx="7">
                  <c:v>1.790302664834952</c:v>
                </c:pt>
                <c:pt idx="8">
                  <c:v>2.647820544023106</c:v>
                </c:pt>
                <c:pt idx="9">
                  <c:v>3.825557762291564</c:v>
                </c:pt>
                <c:pt idx="10">
                  <c:v>1.6358640460865519</c:v>
                </c:pt>
                <c:pt idx="11">
                  <c:v>1.7502732799539451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6-4C2F-9DC5-149730C81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030559"/>
        <c:axId val="1132029599"/>
      </c:barChart>
      <c:catAx>
        <c:axId val="1132030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029599"/>
        <c:crosses val="autoZero"/>
        <c:auto val="1"/>
        <c:lblAlgn val="ctr"/>
        <c:lblOffset val="100"/>
        <c:noMultiLvlLbl val="0"/>
      </c:catAx>
      <c:valAx>
        <c:axId val="11320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Коэфицеент</a:t>
                </a:r>
                <a:r>
                  <a:rPr lang="ru-RU" baseline="0"/>
                  <a:t> пролонгаций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203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[Лист Microsoft Excel (4).xlsx]Отчёт по сотрудникам за месяц!Сводная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Коэффициент пролонгации менеджеров для проектов,</a:t>
            </a:r>
          </a:p>
          <a:p>
            <a:pPr>
              <a:defRPr/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пролонгированных во второй месяц </a:t>
            </a:r>
            <a:endParaRPr lang="ru-RU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'Отчёт по сотрудникам за месяц'!$K$48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'Отчёт по сотрудникам за месяц'!$J$49:$J$61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'Отчёт по сотрудникам за месяц'!$K$49:$K$61</c:f>
              <c:numCache>
                <c:formatCode>General</c:formatCode>
                <c:ptCount val="12"/>
                <c:pt idx="0">
                  <c:v>0.58826702559560395</c:v>
                </c:pt>
                <c:pt idx="1">
                  <c:v>0.70296117544375303</c:v>
                </c:pt>
                <c:pt idx="2">
                  <c:v>1.5489508118566211</c:v>
                </c:pt>
                <c:pt idx="3">
                  <c:v>1.8500608672752401</c:v>
                </c:pt>
                <c:pt idx="4">
                  <c:v>1.1505208333333301</c:v>
                </c:pt>
                <c:pt idx="5">
                  <c:v>1.1505208333333301</c:v>
                </c:pt>
                <c:pt idx="6">
                  <c:v>1.022065127792545</c:v>
                </c:pt>
                <c:pt idx="7">
                  <c:v>1.5530651625352501</c:v>
                </c:pt>
                <c:pt idx="8">
                  <c:v>0</c:v>
                </c:pt>
                <c:pt idx="9">
                  <c:v>0.69398423764300765</c:v>
                </c:pt>
                <c:pt idx="10">
                  <c:v>0.189837047072313</c:v>
                </c:pt>
                <c:pt idx="11">
                  <c:v>1.0731255808234521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0-43FF-A691-E02D75527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684112"/>
        <c:axId val="243683152"/>
      </c:barChart>
      <c:catAx>
        <c:axId val="24368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683152"/>
        <c:crosses val="autoZero"/>
        <c:auto val="1"/>
        <c:lblAlgn val="ctr"/>
        <c:lblOffset val="100"/>
        <c:noMultiLvlLbl val="0"/>
      </c:catAx>
      <c:valAx>
        <c:axId val="2436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68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Коэффициент пролонгации менеджеров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для проектов, пролонгированных в первый месяц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'Отчёт по сотрудникам за год'!$D$5</c:f>
              <c:strCache>
                <c:ptCount val="1"/>
                <c:pt idx="0">
                  <c:v>Коэффициент пролонгаций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'Отчёт по сотрудникам за год'!$C$6:$C$15</c:f>
              <c:strCache>
                <c:ptCount val="10"/>
                <c:pt idx="0">
                  <c:v>Петрова Анна Дмитриевна</c:v>
                </c:pt>
                <c:pt idx="1">
                  <c:v>Федорова Марина Васильевна</c:v>
                </c:pt>
                <c:pt idx="2">
                  <c:v>без А/М</c:v>
                </c:pt>
                <c:pt idx="3">
                  <c:v>Кузнецов Михаил Иванович</c:v>
                </c:pt>
                <c:pt idx="4">
                  <c:v>Михайлов Андрей Сергеевич</c:v>
                </c:pt>
                <c:pt idx="5">
                  <c:v>Иванова Мария Сергеевна</c:v>
                </c:pt>
                <c:pt idx="6">
                  <c:v>Смирнова Ольга Владимировна</c:v>
                </c:pt>
                <c:pt idx="7">
                  <c:v>Попова Екатерина Николаевна</c:v>
                </c:pt>
                <c:pt idx="8">
                  <c:v>Васильев Артем Александрович</c:v>
                </c:pt>
                <c:pt idx="9">
                  <c:v>Соколова Анастасия Викторовна</c:v>
                </c:pt>
              </c:strCache>
            </c:strRef>
          </c:cat>
          <c:val>
            <c:numRef>
              <c:f>'Отчёт по сотрудникам за год'!$D$6:$D$15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2.2834305362921099E-2</c:v>
                </c:pt>
                <c:pt idx="4">
                  <c:v>0.20520815953981</c:v>
                </c:pt>
                <c:pt idx="5">
                  <c:v>0.218169346537363</c:v>
                </c:pt>
                <c:pt idx="6">
                  <c:v>0.26404458016404397</c:v>
                </c:pt>
                <c:pt idx="7">
                  <c:v>0.27107490243246402</c:v>
                </c:pt>
                <c:pt idx="8">
                  <c:v>0.50544137236265196</c:v>
                </c:pt>
                <c:pt idx="9">
                  <c:v>0.56964008252448095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7-4B04-9610-967F3B20F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3"/>
        <c:overlap val="-10"/>
        <c:axId val="93860512"/>
        <c:axId val="93858112"/>
      </c:barChart>
      <c:catAx>
        <c:axId val="93860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Менеджер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58112"/>
        <c:crosses val="autoZero"/>
        <c:auto val="1"/>
        <c:lblAlgn val="ctr"/>
        <c:lblOffset val="100"/>
        <c:noMultiLvlLbl val="0"/>
      </c:catAx>
      <c:valAx>
        <c:axId val="9385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</a:t>
                </a:r>
                <a:r>
                  <a:rPr lang="ru-RU" baseline="0"/>
                  <a:t> пролонгации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331014122484152"/>
              <c:y val="0.91492517858146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6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Коэффициент пролонгации менеджеров для проектов,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пролонгированных во второй месяц </a:t>
            </a:r>
            <a:endParaRPr lang="ru-RU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'Отчёт по сотрудникам за год'!$D$29</c:f>
              <c:strCache>
                <c:ptCount val="1"/>
                <c:pt idx="0">
                  <c:v>Коэффициент пролонгаций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'Отчёт по сотрудникам за год'!$C$30:$C$39</c:f>
              <c:strCache>
                <c:ptCount val="10"/>
                <c:pt idx="0">
                  <c:v>Петрова Анна Дмитриевна</c:v>
                </c:pt>
                <c:pt idx="1">
                  <c:v>Федорова Марина Васильевна</c:v>
                </c:pt>
                <c:pt idx="2">
                  <c:v>без А/М</c:v>
                </c:pt>
                <c:pt idx="3">
                  <c:v>Михайлов Андрей Сергеевич</c:v>
                </c:pt>
                <c:pt idx="4">
                  <c:v>Иванова Мария Сергеевна</c:v>
                </c:pt>
                <c:pt idx="5">
                  <c:v>Соколова Анастасия Викторовна</c:v>
                </c:pt>
                <c:pt idx="6">
                  <c:v>Васильев Артем Александрович</c:v>
                </c:pt>
                <c:pt idx="7">
                  <c:v>Кузнецов Михаил Иванович</c:v>
                </c:pt>
                <c:pt idx="8">
                  <c:v>Попова Екатерина Николаевна</c:v>
                </c:pt>
                <c:pt idx="9">
                  <c:v>Смирнова Ольга Владимировна</c:v>
                </c:pt>
              </c:strCache>
            </c:strRef>
          </c:cat>
          <c:val>
            <c:numRef>
              <c:f>'Отчёт по сотрудникам за год'!$D$30:$D$39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9.8320977716104298E-3</c:v>
                </c:pt>
                <c:pt idx="6">
                  <c:v>7.1155362382954404E-2</c:v>
                </c:pt>
                <c:pt idx="7">
                  <c:v>0.13280999284109701</c:v>
                </c:pt>
                <c:pt idx="8">
                  <c:v>0.14150788342641599</c:v>
                </c:pt>
                <c:pt idx="9">
                  <c:v>0.60497455546996004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E-408E-B1DB-F3AD8C10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7718960"/>
        <c:axId val="237720400"/>
      </c:barChart>
      <c:catAx>
        <c:axId val="237718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Менеджер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7720400"/>
        <c:crosses val="autoZero"/>
        <c:auto val="1"/>
        <c:lblAlgn val="ctr"/>
        <c:lblOffset val="100"/>
        <c:noMultiLvlLbl val="0"/>
      </c:catAx>
      <c:valAx>
        <c:axId val="2377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</a:t>
                </a:r>
              </a:p>
            </c:rich>
          </c:tx>
          <c:layout>
            <c:manualLayout>
              <c:xMode val="edge"/>
              <c:yMode val="edge"/>
              <c:x val="0.50644003048006092"/>
              <c:y val="0.90305972794715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771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134471</xdr:colOff>
      <xdr:row>0</xdr:row>
      <xdr:rowOff>0</xdr:rowOff>
    </xdr:from>
    <xdr:to>
      <xdr:col>18</xdr:col>
      <xdr:colOff>190499</xdr:colOff>
      <xdr:row>16</xdr:row>
      <xdr:rowOff>130549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BC5F50-FA76-7708-20D9-477E81E70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148439</xdr:colOff>
      <xdr:row>17</xdr:row>
      <xdr:rowOff>45396</xdr:rowOff>
    </xdr:from>
    <xdr:to>
      <xdr:col>18</xdr:col>
      <xdr:colOff>181841</xdr:colOff>
      <xdr:row>33</xdr:row>
      <xdr:rowOff>115660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DC2B438-DB09-1000-B051-16D187615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545523</xdr:colOff>
      <xdr:row>19</xdr:row>
      <xdr:rowOff>59529</xdr:rowOff>
    </xdr:from>
    <xdr:to>
      <xdr:col>15</xdr:col>
      <xdr:colOff>226217</xdr:colOff>
      <xdr:row>42</xdr:row>
      <xdr:rowOff>138546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315E30B-67BA-45B6-4F32-1802D6E93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529594</xdr:colOff>
      <xdr:row>64</xdr:row>
      <xdr:rowOff>74620</xdr:rowOff>
    </xdr:from>
    <xdr:to>
      <xdr:col>14</xdr:col>
      <xdr:colOff>545522</xdr:colOff>
      <xdr:row>85</xdr:row>
      <xdr:rowOff>53191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9DBE34F-56FA-49E4-DEDC-66923B45F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11065</xdr:colOff>
      <xdr:row>0</xdr:row>
      <xdr:rowOff>0</xdr:rowOff>
    </xdr:from>
    <xdr:to>
      <xdr:col>18</xdr:col>
      <xdr:colOff>333375</xdr:colOff>
      <xdr:row>20</xdr:row>
      <xdr:rowOff>27455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79FA6C-7C1D-AFE0-2FC7-3FCFFC537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605516</xdr:colOff>
      <xdr:row>23</xdr:row>
      <xdr:rowOff>152397</xdr:rowOff>
    </xdr:from>
    <xdr:to>
      <xdr:col>18</xdr:col>
      <xdr:colOff>231320</xdr:colOff>
      <xdr:row>42</xdr:row>
      <xdr:rowOff>95249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282C569-CA2F-1F50-18D4-BD2112B6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нил Секинаев" refreshedDate="45801.94485983796" createdVersion="8" refreshedVersion="8" minRefreshableVersion="3" recordCount="120" xr:uid="{AE33063B-E015-4800-AC1E-893DF1A505DA}">
  <cacheSource type="worksheet">
    <worksheetSource name="prolong_for_all_manager_month"/>
  </cacheSource>
  <cacheFields count="7">
    <cacheField name="Column1" numFmtId="0">
      <sharedItems containsSemiMixedTypes="0" containsString="0" containsNumber="1" containsInteger="1" minValue="0" maxValue="119"/>
    </cacheField>
    <cacheField name="Менеджер" numFmtId="0">
      <sharedItems count="10">
        <s v="Васильев Артем Александрович"/>
        <s v="Михайлов Андрей Сергеевич"/>
        <s v="Соколова Анастасия Викторовна"/>
        <s v="Иванова Мария Сергеевна"/>
        <s v="Попова Екатерина Николаевна"/>
        <s v="Смирнова Ольга Владимировна"/>
        <s v="Кузнецов Михаил Иванович"/>
        <s v="без А/М"/>
        <s v="Петрова Анна Дмитриевна"/>
        <s v="Федорова Марина Васильевна"/>
      </sharedItems>
    </cacheField>
    <cacheField name="Месяц" numFmtId="14">
      <sharedItems containsSemiMixedTypes="0" containsNonDate="0" containsDate="1" containsString="0" minDate="2023-01-01T00:00:00" maxDate="2023-12-02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  <fieldGroup par="6"/>
    </cacheField>
    <cacheField name="Коэффициент пролонгаций 1" numFmtId="0">
      <sharedItems containsSemiMixedTypes="0" containsString="0" containsNumber="1" minValue="0" maxValue="1.2115959105874099" count="43">
        <n v="0.52160623233999903"/>
        <n v="1.2115959105874099"/>
        <n v="0.502753387508178"/>
        <n v="0.46522935912524199"/>
        <n v="0.46712228459848598"/>
        <n v="0"/>
        <n v="0.45442364611390501"/>
        <n v="0.47750385208012303"/>
        <n v="0.13324755847071301"/>
        <n v="0.886750379948675"/>
        <n v="0.62100069472261699"/>
        <n v="0.32406316285646902"/>
        <n v="1"/>
        <n v="1.1975246274311599"/>
        <n v="0.26497328704655598"/>
        <n v="0.38657759183643903"/>
        <n v="0.27689984424320602"/>
        <n v="0.92099059411834705"/>
        <n v="1.06583461537496"/>
        <n v="0.23740644184677401"/>
        <n v="0.766422495274102"/>
        <n v="0.61908809803630704"/>
        <n v="0.45625519461434499"/>
        <n v="0.29472005188897799"/>
        <n v="0.84179829223777403"/>
        <n v="0.178626289225367"/>
        <n v="0.79106148159716805"/>
        <n v="0.23772236788051701"/>
        <n v="0.38030979056784597"/>
        <n v="0.26625118547622201"/>
        <n v="0.59798045001844302"/>
        <n v="0.142221528374053"/>
        <n v="0.59343213674018602"/>
        <n v="9.6051892970747801E-2"/>
        <n v="0.30895287208136302"/>
        <n v="0.454382553273806"/>
        <n v="0.793626210254749"/>
        <n v="0.167280955491275"/>
        <n v="0.76547038038960902"/>
        <n v="1.03840959280381"/>
        <n v="0.83623706213856797"/>
        <n v="0.361136971145255"/>
        <n v="0.27401166435505298"/>
      </sharedItems>
    </cacheField>
    <cacheField name="Коэффициент пролонгаций 2" numFmtId="0">
      <sharedItems containsSemiMixedTypes="0" containsString="0" containsNumber="1" minValue="0" maxValue="1.5530651625352501" count="14">
        <n v="0"/>
        <n v="0.18654602366113701"/>
        <n v="0.110203410274686"/>
        <n v="7.2256359431780603E-2"/>
        <n v="0.48485855522784799"/>
        <n v="0.117985173259325"/>
        <n v="0.19090664514393299"/>
        <n v="0.50578598361721405"/>
        <n v="0.62172787821122699"/>
        <n v="0.189837047072313"/>
        <n v="1.1505208333333301"/>
        <n v="0.51627914417533105"/>
        <n v="1.5530651625352501"/>
        <n v="0.39842997852329098"/>
      </sharedItems>
    </cacheField>
    <cacheField name="Дни (Месяц)" numFmtId="0" databaseField="0">
      <fieldGroup base="2">
        <rangePr groupBy="days" startDate="2023-01-01T00:00:00" endDate="2023-12-02T00:00:00"/>
        <groupItems count="368">
          <s v="&lt;01.01.2023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12.2023"/>
        </groupItems>
      </fieldGroup>
    </cacheField>
    <cacheField name="Месяцы (Месяц)" numFmtId="0" databaseField="0">
      <fieldGroup base="2">
        <rangePr groupBy="months" startDate="2023-01-01T00:00:00" endDate="2023-12-02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2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0"/>
    <x v="0"/>
    <x v="0"/>
    <x v="0"/>
    <x v="0"/>
  </r>
  <r>
    <n v="1"/>
    <x v="0"/>
    <x v="1"/>
    <x v="1"/>
    <x v="1"/>
  </r>
  <r>
    <n v="2"/>
    <x v="0"/>
    <x v="2"/>
    <x v="2"/>
    <x v="0"/>
  </r>
  <r>
    <n v="3"/>
    <x v="0"/>
    <x v="3"/>
    <x v="3"/>
    <x v="2"/>
  </r>
  <r>
    <n v="4"/>
    <x v="0"/>
    <x v="4"/>
    <x v="4"/>
    <x v="0"/>
  </r>
  <r>
    <n v="5"/>
    <x v="0"/>
    <x v="5"/>
    <x v="5"/>
    <x v="0"/>
  </r>
  <r>
    <n v="6"/>
    <x v="0"/>
    <x v="6"/>
    <x v="6"/>
    <x v="0"/>
  </r>
  <r>
    <n v="7"/>
    <x v="0"/>
    <x v="7"/>
    <x v="7"/>
    <x v="0"/>
  </r>
  <r>
    <n v="8"/>
    <x v="0"/>
    <x v="8"/>
    <x v="8"/>
    <x v="0"/>
  </r>
  <r>
    <n v="9"/>
    <x v="0"/>
    <x v="9"/>
    <x v="9"/>
    <x v="3"/>
  </r>
  <r>
    <n v="10"/>
    <x v="0"/>
    <x v="10"/>
    <x v="10"/>
    <x v="0"/>
  </r>
  <r>
    <n v="11"/>
    <x v="0"/>
    <x v="11"/>
    <x v="11"/>
    <x v="4"/>
  </r>
  <r>
    <n v="12"/>
    <x v="1"/>
    <x v="0"/>
    <x v="5"/>
    <x v="0"/>
  </r>
  <r>
    <n v="13"/>
    <x v="1"/>
    <x v="1"/>
    <x v="12"/>
    <x v="0"/>
  </r>
  <r>
    <n v="14"/>
    <x v="1"/>
    <x v="2"/>
    <x v="5"/>
    <x v="0"/>
  </r>
  <r>
    <n v="15"/>
    <x v="1"/>
    <x v="3"/>
    <x v="5"/>
    <x v="0"/>
  </r>
  <r>
    <n v="16"/>
    <x v="1"/>
    <x v="4"/>
    <x v="5"/>
    <x v="0"/>
  </r>
  <r>
    <n v="17"/>
    <x v="1"/>
    <x v="5"/>
    <x v="5"/>
    <x v="0"/>
  </r>
  <r>
    <n v="18"/>
    <x v="1"/>
    <x v="6"/>
    <x v="13"/>
    <x v="0"/>
  </r>
  <r>
    <n v="19"/>
    <x v="1"/>
    <x v="7"/>
    <x v="5"/>
    <x v="0"/>
  </r>
  <r>
    <n v="20"/>
    <x v="1"/>
    <x v="8"/>
    <x v="5"/>
    <x v="0"/>
  </r>
  <r>
    <n v="21"/>
    <x v="1"/>
    <x v="9"/>
    <x v="14"/>
    <x v="0"/>
  </r>
  <r>
    <n v="22"/>
    <x v="1"/>
    <x v="10"/>
    <x v="5"/>
    <x v="0"/>
  </r>
  <r>
    <n v="23"/>
    <x v="1"/>
    <x v="11"/>
    <x v="5"/>
    <x v="0"/>
  </r>
  <r>
    <n v="24"/>
    <x v="2"/>
    <x v="0"/>
    <x v="15"/>
    <x v="0"/>
  </r>
  <r>
    <n v="25"/>
    <x v="2"/>
    <x v="1"/>
    <x v="16"/>
    <x v="5"/>
  </r>
  <r>
    <n v="26"/>
    <x v="2"/>
    <x v="2"/>
    <x v="17"/>
    <x v="0"/>
  </r>
  <r>
    <n v="27"/>
    <x v="2"/>
    <x v="3"/>
    <x v="18"/>
    <x v="0"/>
  </r>
  <r>
    <n v="28"/>
    <x v="2"/>
    <x v="4"/>
    <x v="19"/>
    <x v="0"/>
  </r>
  <r>
    <n v="29"/>
    <x v="2"/>
    <x v="5"/>
    <x v="20"/>
    <x v="0"/>
  </r>
  <r>
    <n v="30"/>
    <x v="2"/>
    <x v="6"/>
    <x v="21"/>
    <x v="0"/>
  </r>
  <r>
    <n v="31"/>
    <x v="2"/>
    <x v="7"/>
    <x v="22"/>
    <x v="0"/>
  </r>
  <r>
    <n v="32"/>
    <x v="2"/>
    <x v="8"/>
    <x v="23"/>
    <x v="0"/>
  </r>
  <r>
    <n v="33"/>
    <x v="2"/>
    <x v="9"/>
    <x v="24"/>
    <x v="0"/>
  </r>
  <r>
    <n v="34"/>
    <x v="2"/>
    <x v="10"/>
    <x v="25"/>
    <x v="0"/>
  </r>
  <r>
    <n v="35"/>
    <x v="2"/>
    <x v="11"/>
    <x v="26"/>
    <x v="0"/>
  </r>
  <r>
    <n v="36"/>
    <x v="3"/>
    <x v="0"/>
    <x v="5"/>
    <x v="0"/>
  </r>
  <r>
    <n v="37"/>
    <x v="3"/>
    <x v="1"/>
    <x v="5"/>
    <x v="0"/>
  </r>
  <r>
    <n v="38"/>
    <x v="3"/>
    <x v="2"/>
    <x v="5"/>
    <x v="0"/>
  </r>
  <r>
    <n v="39"/>
    <x v="3"/>
    <x v="3"/>
    <x v="27"/>
    <x v="0"/>
  </r>
  <r>
    <n v="40"/>
    <x v="3"/>
    <x v="4"/>
    <x v="12"/>
    <x v="0"/>
  </r>
  <r>
    <n v="41"/>
    <x v="3"/>
    <x v="5"/>
    <x v="5"/>
    <x v="0"/>
  </r>
  <r>
    <n v="42"/>
    <x v="3"/>
    <x v="6"/>
    <x v="5"/>
    <x v="0"/>
  </r>
  <r>
    <n v="43"/>
    <x v="3"/>
    <x v="7"/>
    <x v="28"/>
    <x v="0"/>
  </r>
  <r>
    <n v="44"/>
    <x v="3"/>
    <x v="8"/>
    <x v="12"/>
    <x v="0"/>
  </r>
  <r>
    <n v="45"/>
    <x v="3"/>
    <x v="9"/>
    <x v="5"/>
    <x v="0"/>
  </r>
  <r>
    <n v="46"/>
    <x v="3"/>
    <x v="10"/>
    <x v="5"/>
    <x v="0"/>
  </r>
  <r>
    <n v="47"/>
    <x v="3"/>
    <x v="11"/>
    <x v="5"/>
    <x v="0"/>
  </r>
  <r>
    <n v="48"/>
    <x v="4"/>
    <x v="0"/>
    <x v="29"/>
    <x v="0"/>
  </r>
  <r>
    <n v="49"/>
    <x v="4"/>
    <x v="1"/>
    <x v="5"/>
    <x v="0"/>
  </r>
  <r>
    <n v="50"/>
    <x v="4"/>
    <x v="2"/>
    <x v="30"/>
    <x v="0"/>
  </r>
  <r>
    <n v="51"/>
    <x v="4"/>
    <x v="3"/>
    <x v="31"/>
    <x v="6"/>
  </r>
  <r>
    <n v="52"/>
    <x v="4"/>
    <x v="4"/>
    <x v="32"/>
    <x v="0"/>
  </r>
  <r>
    <n v="53"/>
    <x v="4"/>
    <x v="5"/>
    <x v="5"/>
    <x v="0"/>
  </r>
  <r>
    <n v="54"/>
    <x v="4"/>
    <x v="6"/>
    <x v="33"/>
    <x v="7"/>
  </r>
  <r>
    <n v="55"/>
    <x v="4"/>
    <x v="7"/>
    <x v="34"/>
    <x v="0"/>
  </r>
  <r>
    <n v="56"/>
    <x v="4"/>
    <x v="8"/>
    <x v="35"/>
    <x v="0"/>
  </r>
  <r>
    <n v="57"/>
    <x v="4"/>
    <x v="9"/>
    <x v="36"/>
    <x v="8"/>
  </r>
  <r>
    <n v="58"/>
    <x v="4"/>
    <x v="10"/>
    <x v="5"/>
    <x v="9"/>
  </r>
  <r>
    <n v="59"/>
    <x v="4"/>
    <x v="11"/>
    <x v="5"/>
    <x v="9"/>
  </r>
  <r>
    <n v="60"/>
    <x v="5"/>
    <x v="0"/>
    <x v="5"/>
    <x v="9"/>
  </r>
  <r>
    <n v="61"/>
    <x v="5"/>
    <x v="1"/>
    <x v="5"/>
    <x v="0"/>
  </r>
  <r>
    <n v="62"/>
    <x v="5"/>
    <x v="2"/>
    <x v="5"/>
    <x v="10"/>
  </r>
  <r>
    <n v="63"/>
    <x v="5"/>
    <x v="3"/>
    <x v="5"/>
    <x v="10"/>
  </r>
  <r>
    <n v="64"/>
    <x v="5"/>
    <x v="4"/>
    <x v="5"/>
    <x v="10"/>
  </r>
  <r>
    <n v="65"/>
    <x v="5"/>
    <x v="5"/>
    <x v="5"/>
    <x v="10"/>
  </r>
  <r>
    <n v="66"/>
    <x v="5"/>
    <x v="6"/>
    <x v="5"/>
    <x v="11"/>
  </r>
  <r>
    <n v="67"/>
    <x v="5"/>
    <x v="7"/>
    <x v="37"/>
    <x v="12"/>
  </r>
  <r>
    <n v="68"/>
    <x v="5"/>
    <x v="8"/>
    <x v="38"/>
    <x v="0"/>
  </r>
  <r>
    <n v="69"/>
    <x v="5"/>
    <x v="9"/>
    <x v="39"/>
    <x v="0"/>
  </r>
  <r>
    <n v="70"/>
    <x v="5"/>
    <x v="10"/>
    <x v="40"/>
    <x v="0"/>
  </r>
  <r>
    <n v="71"/>
    <x v="5"/>
    <x v="11"/>
    <x v="41"/>
    <x v="13"/>
  </r>
  <r>
    <n v="72"/>
    <x v="6"/>
    <x v="0"/>
    <x v="5"/>
    <x v="13"/>
  </r>
  <r>
    <n v="73"/>
    <x v="6"/>
    <x v="1"/>
    <x v="5"/>
    <x v="13"/>
  </r>
  <r>
    <n v="74"/>
    <x v="6"/>
    <x v="2"/>
    <x v="5"/>
    <x v="13"/>
  </r>
  <r>
    <n v="75"/>
    <x v="6"/>
    <x v="3"/>
    <x v="5"/>
    <x v="13"/>
  </r>
  <r>
    <n v="76"/>
    <x v="6"/>
    <x v="4"/>
    <x v="5"/>
    <x v="0"/>
  </r>
  <r>
    <n v="77"/>
    <x v="6"/>
    <x v="5"/>
    <x v="5"/>
    <x v="0"/>
  </r>
  <r>
    <n v="78"/>
    <x v="6"/>
    <x v="6"/>
    <x v="5"/>
    <x v="0"/>
  </r>
  <r>
    <n v="79"/>
    <x v="6"/>
    <x v="7"/>
    <x v="5"/>
    <x v="0"/>
  </r>
  <r>
    <n v="80"/>
    <x v="6"/>
    <x v="8"/>
    <x v="5"/>
    <x v="0"/>
  </r>
  <r>
    <n v="81"/>
    <x v="6"/>
    <x v="9"/>
    <x v="5"/>
    <x v="0"/>
  </r>
  <r>
    <n v="82"/>
    <x v="6"/>
    <x v="10"/>
    <x v="5"/>
    <x v="0"/>
  </r>
  <r>
    <n v="83"/>
    <x v="6"/>
    <x v="11"/>
    <x v="42"/>
    <x v="0"/>
  </r>
  <r>
    <n v="84"/>
    <x v="7"/>
    <x v="0"/>
    <x v="5"/>
    <x v="0"/>
  </r>
  <r>
    <n v="85"/>
    <x v="7"/>
    <x v="1"/>
    <x v="5"/>
    <x v="0"/>
  </r>
  <r>
    <n v="86"/>
    <x v="7"/>
    <x v="2"/>
    <x v="5"/>
    <x v="0"/>
  </r>
  <r>
    <n v="87"/>
    <x v="7"/>
    <x v="3"/>
    <x v="5"/>
    <x v="0"/>
  </r>
  <r>
    <n v="88"/>
    <x v="7"/>
    <x v="4"/>
    <x v="5"/>
    <x v="0"/>
  </r>
  <r>
    <n v="89"/>
    <x v="7"/>
    <x v="5"/>
    <x v="5"/>
    <x v="0"/>
  </r>
  <r>
    <n v="90"/>
    <x v="7"/>
    <x v="6"/>
    <x v="5"/>
    <x v="0"/>
  </r>
  <r>
    <n v="91"/>
    <x v="7"/>
    <x v="7"/>
    <x v="5"/>
    <x v="0"/>
  </r>
  <r>
    <n v="92"/>
    <x v="7"/>
    <x v="8"/>
    <x v="5"/>
    <x v="0"/>
  </r>
  <r>
    <n v="93"/>
    <x v="7"/>
    <x v="9"/>
    <x v="5"/>
    <x v="0"/>
  </r>
  <r>
    <n v="94"/>
    <x v="7"/>
    <x v="10"/>
    <x v="5"/>
    <x v="0"/>
  </r>
  <r>
    <n v="95"/>
    <x v="7"/>
    <x v="11"/>
    <x v="5"/>
    <x v="0"/>
  </r>
  <r>
    <n v="96"/>
    <x v="8"/>
    <x v="0"/>
    <x v="5"/>
    <x v="0"/>
  </r>
  <r>
    <n v="97"/>
    <x v="8"/>
    <x v="1"/>
    <x v="5"/>
    <x v="0"/>
  </r>
  <r>
    <n v="98"/>
    <x v="8"/>
    <x v="2"/>
    <x v="5"/>
    <x v="0"/>
  </r>
  <r>
    <n v="99"/>
    <x v="8"/>
    <x v="3"/>
    <x v="5"/>
    <x v="0"/>
  </r>
  <r>
    <n v="100"/>
    <x v="8"/>
    <x v="4"/>
    <x v="5"/>
    <x v="0"/>
  </r>
  <r>
    <n v="101"/>
    <x v="8"/>
    <x v="5"/>
    <x v="5"/>
    <x v="0"/>
  </r>
  <r>
    <n v="102"/>
    <x v="8"/>
    <x v="6"/>
    <x v="5"/>
    <x v="0"/>
  </r>
  <r>
    <n v="103"/>
    <x v="8"/>
    <x v="7"/>
    <x v="5"/>
    <x v="0"/>
  </r>
  <r>
    <n v="104"/>
    <x v="8"/>
    <x v="8"/>
    <x v="5"/>
    <x v="0"/>
  </r>
  <r>
    <n v="105"/>
    <x v="8"/>
    <x v="9"/>
    <x v="5"/>
    <x v="0"/>
  </r>
  <r>
    <n v="106"/>
    <x v="8"/>
    <x v="10"/>
    <x v="5"/>
    <x v="0"/>
  </r>
  <r>
    <n v="107"/>
    <x v="8"/>
    <x v="11"/>
    <x v="5"/>
    <x v="0"/>
  </r>
  <r>
    <n v="108"/>
    <x v="9"/>
    <x v="0"/>
    <x v="5"/>
    <x v="0"/>
  </r>
  <r>
    <n v="109"/>
    <x v="9"/>
    <x v="1"/>
    <x v="5"/>
    <x v="0"/>
  </r>
  <r>
    <n v="110"/>
    <x v="9"/>
    <x v="2"/>
    <x v="5"/>
    <x v="0"/>
  </r>
  <r>
    <n v="111"/>
    <x v="9"/>
    <x v="3"/>
    <x v="5"/>
    <x v="0"/>
  </r>
  <r>
    <n v="112"/>
    <x v="9"/>
    <x v="4"/>
    <x v="5"/>
    <x v="0"/>
  </r>
  <r>
    <n v="113"/>
    <x v="9"/>
    <x v="5"/>
    <x v="5"/>
    <x v="0"/>
  </r>
  <r>
    <n v="114"/>
    <x v="9"/>
    <x v="6"/>
    <x v="5"/>
    <x v="0"/>
  </r>
  <r>
    <n v="115"/>
    <x v="9"/>
    <x v="7"/>
    <x v="5"/>
    <x v="0"/>
  </r>
  <r>
    <n v="116"/>
    <x v="9"/>
    <x v="8"/>
    <x v="5"/>
    <x v="0"/>
  </r>
  <r>
    <n v="117"/>
    <x v="9"/>
    <x v="9"/>
    <x v="5"/>
    <x v="0"/>
  </r>
  <r>
    <n v="118"/>
    <x v="9"/>
    <x v="10"/>
    <x v="5"/>
    <x v="0"/>
  </r>
  <r>
    <n v="119"/>
    <x v="9"/>
    <x v="1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8ADAC-8A75-4D08-8DFA-23419BCF2BAC}" name="Сводная таблица3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J48:K61" firstHeaderRow="1" firstDataRow="1" firstDataCol="1" rowPageCount="1" colPageCount="1"/>
  <pivotFields count="7">
    <pivotField showAll="0"/>
    <pivotField axis="axisPage" showAll="0">
      <items count="11">
        <item x="7"/>
        <item x="0"/>
        <item x="3"/>
        <item x="6"/>
        <item x="1"/>
        <item x="8"/>
        <item x="4"/>
        <item x="5"/>
        <item x="2"/>
        <item x="9"/>
        <item t="default"/>
      </items>
    </pivotField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6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Сумма по полю Коэффициент пролонгаций 2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0A926-EFD6-42E0-969D-8438601D5E26}" name="Сводная таблица2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J4:K17" firstHeaderRow="1" firstDataRow="1" firstDataCol="1" rowPageCount="1" colPageCount="1"/>
  <pivotFields count="7">
    <pivotField showAll="0"/>
    <pivotField axis="axisPage" multipleItemSelectionAllowed="1" showAll="0">
      <items count="11">
        <item x="7"/>
        <item x="0"/>
        <item x="3"/>
        <item x="6"/>
        <item x="1"/>
        <item x="8"/>
        <item x="4"/>
        <item x="5"/>
        <item x="2"/>
        <item x="9"/>
        <item t="default"/>
      </items>
    </pivotField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15">
        <item x="0"/>
        <item x="3"/>
        <item x="2"/>
        <item x="5"/>
        <item x="1"/>
        <item x="9"/>
        <item x="6"/>
        <item x="13"/>
        <item x="4"/>
        <item x="7"/>
        <item x="11"/>
        <item x="8"/>
        <item x="10"/>
        <item x="1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6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hier="-1"/>
  </pageFields>
  <dataFields count="1">
    <dataField name="Сумма по полю Коэффициент пролонгаций 1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11CBE8-6A26-4535-BD3C-C2142653F3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Месяц" tableColumnId="2"/>
      <queryTableField id="3" name="Коэффициент пролонгаций 1" tableColumnId="3"/>
      <queryTableField id="4" name="Коэффициент пролонгаций 2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A3C1AD-6584-4D63-9E1C-BDC066C95E1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Менеджер" tableColumnId="2"/>
      <queryTableField id="3" name="Месяц" tableColumnId="3"/>
      <queryTableField id="4" name="Коэффициент пролонгаций 1" tableColumnId="4"/>
      <queryTableField id="5" name="Коэффициент пролонгаций 2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9CBDF8-87B9-4A98-AF34-64DEA970BF5E}" autoFormatId="16" applyNumberFormats="0" applyBorderFormats="0" applyFontFormats="0" applyPatternFormats="0" applyAlignmentFormats="0" applyWidthHeightFormats="0">
  <queryTableRefresh nextId="5">
    <queryTableFields count="3">
      <queryTableField id="1" name="Column1" tableColumnId="1"/>
      <queryTableField id="2" name="Менеджер" tableColumnId="2"/>
      <queryTableField id="3" name="Коэффициент пролонгаций 1" tableColumnId="3"/>
    </queryTableFields>
    <queryTableDeletedFields count="1">
      <deletedField name="Коэффициент пролонгаций 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38090-EEB5-49A6-A75A-95047A6DEB84}" name="prolong_for_all_company" displayName="prolong_for_all_company" ref="B4:E16" tableType="queryTable" totalsRowShown="0" tableBorderDxfId="29">
  <autoFilter ref="B4:E16" xr:uid="{B9138090-EEB5-49A6-A75A-95047A6DEB84}"/>
  <tableColumns count="4">
    <tableColumn id="1" xr3:uid="{81D613BA-4C02-4524-87A9-CAD2E9E3E362}" uniqueName="1" name="id" queryTableFieldId="1"/>
    <tableColumn id="2" xr3:uid="{C3CBCB28-5DA8-4536-AC9E-B62F17BDC674}" uniqueName="2" name="Месяц" queryTableFieldId="2" dataDxfId="28"/>
    <tableColumn id="3" xr3:uid="{FF710FA4-1FD4-45C2-880A-C230C18A0788}" uniqueName="3" name="Коэффициент пролонгаций 1" queryTableFieldId="3" dataDxfId="27"/>
    <tableColumn id="4" xr3:uid="{1F631A4B-8218-4DD0-B325-64FE7B18F564}" uniqueName="4" name="Коэффициент пролонгаций 2" queryTableFieldId="4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C005C-6BB6-4B49-82A7-13DE7B91EB70}" name="Таблица3" displayName="Таблица3" ref="C22:D23" headerRowCount="0" headerRowDxfId="20" totalsRowDxfId="19" tableBorderDxfId="23">
  <tableColumns count="2">
    <tableColumn id="1" xr3:uid="{94734846-DE01-4CD6-A188-A5DD9BA22896}" name="Столбец1" totalsRowLabel="Итог" headerRowDxfId="24" dataDxfId="22" totalsRowDxfId="25"/>
    <tableColumn id="2" xr3:uid="{BE78B149-215B-41DC-947D-719D03B371FB}" name="Столбец2" totalsRowFunction="sum" dataDxfId="21">
      <calculatedColumnFormula>AVERAGE(prolong_for_all_company[Коэффициент пролонгаций 2])</calculatedColumnFormula>
    </tableColumn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1C01BF-4021-4D8F-9C1D-57259AECA26C}" name="prolong_for_all_manager_month" displayName="prolong_for_all_manager_month" ref="A1:E121" tableType="queryTable" totalsRowShown="0">
  <autoFilter ref="A1:E121" xr:uid="{531C01BF-4021-4D8F-9C1D-57259AECA26C}"/>
  <tableColumns count="5">
    <tableColumn id="1" xr3:uid="{B8A2B6A5-3340-478F-8D95-03C4C2A88DAB}" uniqueName="1" name="Column1" queryTableFieldId="1"/>
    <tableColumn id="2" xr3:uid="{127ED510-E68A-4FCC-81ED-824072E96186}" uniqueName="2" name="Менеджер" queryTableFieldId="2" dataDxfId="3"/>
    <tableColumn id="3" xr3:uid="{085F4347-3683-4216-9948-CE1986755DB1}" uniqueName="3" name="Месяц" queryTableFieldId="3" dataDxfId="2"/>
    <tableColumn id="4" xr3:uid="{231B542A-5979-491E-99F1-E13D6D0EF4AD}" uniqueName="4" name="Коэффициент пролонгаций 1" queryTableFieldId="4" dataDxfId="1"/>
    <tableColumn id="5" xr3:uid="{48F09FA6-DE3C-4F55-B844-3CE5B0480533}" uniqueName="5" name="Коэффициент пролонгаций 2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B3705F-9213-430F-969F-458004577B0C}" name="prolong_for_all_manager_year" displayName="prolong_for_all_manager_year" ref="B5:D15" tableType="queryTable" totalsRowShown="0" headerRowDxfId="11" headerRowBorderDxfId="16" tableBorderDxfId="17" totalsRowBorderDxfId="15">
  <autoFilter ref="B5:D15" xr:uid="{C5B3705F-9213-430F-969F-458004577B0C}"/>
  <sortState xmlns:xlrd2="http://schemas.microsoft.com/office/spreadsheetml/2017/richdata2" ref="B6:D15">
    <sortCondition ref="D5:D15"/>
  </sortState>
  <tableColumns count="3">
    <tableColumn id="1" xr3:uid="{2C19731F-302D-4953-AD32-D993D9C88815}" uniqueName="1" name="id" queryTableFieldId="1" dataDxfId="14"/>
    <tableColumn id="2" xr3:uid="{78310105-5799-4B73-80C9-3E3C017E2B73}" uniqueName="2" name="Менеджер" queryTableFieldId="2" dataDxfId="13"/>
    <tableColumn id="3" xr3:uid="{C249576A-D22F-47AC-8A45-78F8B9729836}" uniqueName="3" name="Коэффициент пролонгаций 1" queryTableFieldId="3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EDCA7-E9ED-4EEF-993E-BA6D16F9D3E8}" name="Таблица5" displayName="Таблица5" ref="B29:D39" totalsRowShown="0" headerRowDxfId="4" dataDxfId="18" headerRowBorderDxfId="9" tableBorderDxfId="10" totalsRowBorderDxfId="8">
  <autoFilter ref="B29:D39" xr:uid="{6B0EDCA7-E9ED-4EEF-993E-BA6D16F9D3E8}"/>
  <sortState xmlns:xlrd2="http://schemas.microsoft.com/office/spreadsheetml/2017/richdata2" ref="B30:D39">
    <sortCondition ref="D29:D39"/>
  </sortState>
  <tableColumns count="3">
    <tableColumn id="1" xr3:uid="{705C09BC-F0E0-48D1-ACAF-D5981A914CC9}" name="id" dataDxfId="7"/>
    <tableColumn id="2" xr3:uid="{133A796B-79D2-46C8-ACF7-3AA8B76F2110}" name="Менеджер" dataDxfId="6"/>
    <tableColumn id="3" xr3:uid="{D8ED1622-19C5-43A0-B5B3-0DE754361053}" name="Коэффициент пролонгаций 2" dataDxfId="5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7DF7-E4C5-4FCA-A7AE-96425272447A}">
  <dimension ref="B4:E23"/>
  <sheetViews>
    <sheetView zoomScale="55" zoomScaleNormal="55" workbookViewId="0">
      <selection activeCell="E23" sqref="E23"/>
    </sheetView>
  </sheetViews>
  <sheetFormatPr defaultRowHeight="14.25" x14ac:dyDescent="0.45"/>
  <cols>
    <col min="1" max="1" width="16.9296875" customWidth="1"/>
    <col min="2" max="2" width="11" customWidth="1"/>
    <col min="3" max="3" width="32.59765625" customWidth="1"/>
    <col min="4" max="4" width="31.265625" customWidth="1"/>
    <col min="5" max="5" width="29.19921875" customWidth="1"/>
  </cols>
  <sheetData>
    <row r="4" spans="2:5" x14ac:dyDescent="0.45">
      <c r="B4" s="3" t="s">
        <v>4</v>
      </c>
      <c r="C4" s="3" t="s">
        <v>1</v>
      </c>
      <c r="D4" s="4" t="s">
        <v>2</v>
      </c>
      <c r="E4" s="4" t="s">
        <v>3</v>
      </c>
    </row>
    <row r="5" spans="2:5" x14ac:dyDescent="0.45">
      <c r="B5" s="3">
        <v>0</v>
      </c>
      <c r="C5" s="5">
        <v>44927</v>
      </c>
      <c r="D5" s="6">
        <v>0.447156482388893</v>
      </c>
      <c r="E5" s="6">
        <v>0.134636766956196</v>
      </c>
    </row>
    <row r="6" spans="2:5" x14ac:dyDescent="0.45">
      <c r="B6" s="3">
        <v>1</v>
      </c>
      <c r="C6" s="5">
        <v>44958</v>
      </c>
      <c r="D6" s="6">
        <v>0.73789301258436601</v>
      </c>
      <c r="E6" s="6">
        <v>9.0870627810364896E-2</v>
      </c>
    </row>
    <row r="7" spans="2:5" x14ac:dyDescent="0.45">
      <c r="B7" s="3">
        <v>2</v>
      </c>
      <c r="C7" s="5">
        <v>44986</v>
      </c>
      <c r="D7" s="6">
        <v>0.66957166226326903</v>
      </c>
      <c r="E7" s="6">
        <v>0.161662109206857</v>
      </c>
    </row>
    <row r="8" spans="2:5" x14ac:dyDescent="0.45">
      <c r="B8" s="3">
        <v>3</v>
      </c>
      <c r="C8" s="5">
        <v>45017</v>
      </c>
      <c r="D8" s="6">
        <v>0.50358130971552795</v>
      </c>
      <c r="E8" s="6">
        <v>9.2300094785219805E-2</v>
      </c>
    </row>
    <row r="9" spans="2:5" x14ac:dyDescent="0.45">
      <c r="B9" s="3">
        <v>4</v>
      </c>
      <c r="C9" s="5">
        <v>45047</v>
      </c>
      <c r="D9" s="6">
        <v>0.580227105033149</v>
      </c>
      <c r="E9" s="6">
        <v>0</v>
      </c>
    </row>
    <row r="10" spans="2:5" x14ac:dyDescent="0.45">
      <c r="B10" s="3">
        <v>5</v>
      </c>
      <c r="C10" s="5">
        <v>45078</v>
      </c>
      <c r="D10" s="6">
        <v>0.26130676984008</v>
      </c>
      <c r="E10" s="6">
        <v>3.8059007840357498E-2</v>
      </c>
    </row>
    <row r="11" spans="2:5" x14ac:dyDescent="0.45">
      <c r="B11" s="3">
        <v>6</v>
      </c>
      <c r="C11" s="5">
        <v>45108</v>
      </c>
      <c r="D11" s="6">
        <v>0.52948213275650202</v>
      </c>
      <c r="E11" s="6">
        <v>0.106127894300557</v>
      </c>
    </row>
    <row r="12" spans="2:5" x14ac:dyDescent="0.45">
      <c r="B12" s="3">
        <v>7</v>
      </c>
      <c r="C12" s="5">
        <v>45139</v>
      </c>
      <c r="D12" s="6">
        <v>0.487206963453853</v>
      </c>
      <c r="E12" s="6">
        <v>3.6017215423464498E-2</v>
      </c>
    </row>
    <row r="13" spans="2:5" x14ac:dyDescent="0.45">
      <c r="B13" s="3">
        <v>8</v>
      </c>
      <c r="C13" s="5">
        <v>45170</v>
      </c>
      <c r="D13" s="6">
        <v>0.33513622005821397</v>
      </c>
      <c r="E13" s="6">
        <v>0</v>
      </c>
    </row>
    <row r="14" spans="2:5" x14ac:dyDescent="0.45">
      <c r="B14" s="3">
        <v>9</v>
      </c>
      <c r="C14" s="5">
        <v>45200</v>
      </c>
      <c r="D14" s="6">
        <v>0.81767756422994498</v>
      </c>
      <c r="E14" s="6">
        <v>0.112397017381968</v>
      </c>
    </row>
    <row r="15" spans="2:5" x14ac:dyDescent="0.45">
      <c r="B15" s="3">
        <v>10</v>
      </c>
      <c r="C15" s="5">
        <v>45231</v>
      </c>
      <c r="D15" s="6">
        <v>0.51788226676395699</v>
      </c>
      <c r="E15" s="6">
        <v>1.8931474326249101E-2</v>
      </c>
    </row>
    <row r="16" spans="2:5" x14ac:dyDescent="0.45">
      <c r="B16" s="3">
        <v>11</v>
      </c>
      <c r="C16" s="5">
        <v>45261</v>
      </c>
      <c r="D16" s="6">
        <v>0.54459542138602501</v>
      </c>
      <c r="E16" s="6">
        <v>0.155498109605513</v>
      </c>
    </row>
    <row r="22" spans="3:4" ht="42.75" x14ac:dyDescent="0.45">
      <c r="C22" s="7" t="s">
        <v>5</v>
      </c>
      <c r="D22" s="8">
        <f>AVERAGE(prolong_for_all_company[Коэффициент пролонгаций 1])</f>
        <v>0.53597640920614842</v>
      </c>
    </row>
    <row r="23" spans="3:4" ht="42.75" x14ac:dyDescent="0.45">
      <c r="C23" s="9" t="s">
        <v>6</v>
      </c>
      <c r="D23" s="10">
        <f>AVERAGE(prolong_for_all_company[Коэффициент пролонгаций 2])</f>
        <v>7.8875026469728909E-2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5FB8-3397-451E-B3C4-A56B85A9E549}">
  <dimension ref="A1:K121"/>
  <sheetViews>
    <sheetView tabSelected="1" topLeftCell="A46" zoomScale="55" zoomScaleNormal="55" workbookViewId="0">
      <selection activeCell="N61" sqref="N61"/>
    </sheetView>
  </sheetViews>
  <sheetFormatPr defaultRowHeight="14.25" x14ac:dyDescent="0.45"/>
  <cols>
    <col min="1" max="1" width="10.19921875" bestFit="1" customWidth="1"/>
    <col min="2" max="2" width="27.73046875" bestFit="1" customWidth="1"/>
    <col min="3" max="3" width="14.3984375" customWidth="1"/>
    <col min="4" max="5" width="27.86328125" bestFit="1" customWidth="1"/>
    <col min="10" max="10" width="18.265625" bestFit="1" customWidth="1"/>
    <col min="11" max="12" width="40.6640625" bestFit="1" customWidth="1"/>
  </cols>
  <sheetData>
    <row r="1" spans="1:11" x14ac:dyDescent="0.45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11" x14ac:dyDescent="0.45">
      <c r="A2">
        <v>0</v>
      </c>
      <c r="B2" s="2" t="s">
        <v>8</v>
      </c>
      <c r="C2" s="1">
        <v>44927</v>
      </c>
      <c r="D2" s="2">
        <v>0.52160623233999903</v>
      </c>
      <c r="E2" s="2">
        <v>0</v>
      </c>
      <c r="J2" s="28" t="s">
        <v>7</v>
      </c>
      <c r="K2" t="s">
        <v>32</v>
      </c>
    </row>
    <row r="3" spans="1:11" x14ac:dyDescent="0.45">
      <c r="A3">
        <v>1</v>
      </c>
      <c r="B3" s="2" t="s">
        <v>8</v>
      </c>
      <c r="C3" s="1">
        <v>44958</v>
      </c>
      <c r="D3" s="2">
        <v>1.2115959105874099</v>
      </c>
      <c r="E3" s="2">
        <v>0.18654602366113701</v>
      </c>
    </row>
    <row r="4" spans="1:11" x14ac:dyDescent="0.45">
      <c r="A4">
        <v>2</v>
      </c>
      <c r="B4" s="2" t="s">
        <v>8</v>
      </c>
      <c r="C4" s="1">
        <v>44986</v>
      </c>
      <c r="D4" s="2">
        <v>0.502753387508178</v>
      </c>
      <c r="E4" s="2">
        <v>0</v>
      </c>
      <c r="J4" s="28" t="s">
        <v>18</v>
      </c>
      <c r="K4" t="s">
        <v>33</v>
      </c>
    </row>
    <row r="5" spans="1:11" x14ac:dyDescent="0.45">
      <c r="A5">
        <v>3</v>
      </c>
      <c r="B5" s="2" t="s">
        <v>8</v>
      </c>
      <c r="C5" s="1">
        <v>45017</v>
      </c>
      <c r="D5" s="2">
        <v>0.46522935912524199</v>
      </c>
      <c r="E5" s="2">
        <v>0.110203410274686</v>
      </c>
      <c r="J5" s="29" t="s">
        <v>20</v>
      </c>
      <c r="K5" s="2">
        <v>1.1744350096526601</v>
      </c>
    </row>
    <row r="6" spans="1:11" x14ac:dyDescent="0.45">
      <c r="A6">
        <v>4</v>
      </c>
      <c r="B6" s="2" t="s">
        <v>8</v>
      </c>
      <c r="C6" s="1">
        <v>45047</v>
      </c>
      <c r="D6" s="2">
        <v>0.46712228459848598</v>
      </c>
      <c r="E6" s="2">
        <v>0</v>
      </c>
      <c r="J6" s="29" t="s">
        <v>21</v>
      </c>
      <c r="K6" s="2">
        <v>2.4884957548306161</v>
      </c>
    </row>
    <row r="7" spans="1:11" x14ac:dyDescent="0.45">
      <c r="A7">
        <v>5</v>
      </c>
      <c r="B7" s="2" t="s">
        <v>8</v>
      </c>
      <c r="C7" s="1">
        <v>45078</v>
      </c>
      <c r="D7" s="2">
        <v>0</v>
      </c>
      <c r="E7" s="2">
        <v>0</v>
      </c>
      <c r="J7" s="29" t="s">
        <v>22</v>
      </c>
      <c r="K7" s="2">
        <v>2.0217244316449681</v>
      </c>
    </row>
    <row r="8" spans="1:11" x14ac:dyDescent="0.45">
      <c r="A8">
        <v>6</v>
      </c>
      <c r="B8" s="2" t="s">
        <v>8</v>
      </c>
      <c r="C8" s="1">
        <v>45108</v>
      </c>
      <c r="D8" s="2">
        <v>0.45442364611390501</v>
      </c>
      <c r="E8" s="2">
        <v>0</v>
      </c>
      <c r="J8" s="29" t="s">
        <v>23</v>
      </c>
      <c r="K8" s="2">
        <v>1.911007870754772</v>
      </c>
    </row>
    <row r="9" spans="1:11" x14ac:dyDescent="0.45">
      <c r="A9">
        <v>7</v>
      </c>
      <c r="B9" s="2" t="s">
        <v>8</v>
      </c>
      <c r="C9" s="1">
        <v>45139</v>
      </c>
      <c r="D9" s="2">
        <v>0.47750385208012303</v>
      </c>
      <c r="E9" s="2">
        <v>0</v>
      </c>
      <c r="J9" s="29" t="s">
        <v>24</v>
      </c>
      <c r="K9" s="2">
        <v>2.297960863185446</v>
      </c>
    </row>
    <row r="10" spans="1:11" x14ac:dyDescent="0.45">
      <c r="A10">
        <v>8</v>
      </c>
      <c r="B10" s="2" t="s">
        <v>8</v>
      </c>
      <c r="C10" s="1">
        <v>45170</v>
      </c>
      <c r="D10" s="2">
        <v>0.13324755847071301</v>
      </c>
      <c r="E10" s="2">
        <v>0</v>
      </c>
      <c r="J10" s="29" t="s">
        <v>25</v>
      </c>
      <c r="K10" s="2">
        <v>0.766422495274102</v>
      </c>
    </row>
    <row r="11" spans="1:11" x14ac:dyDescent="0.45">
      <c r="A11">
        <v>9</v>
      </c>
      <c r="B11" s="2" t="s">
        <v>8</v>
      </c>
      <c r="C11" s="1">
        <v>45200</v>
      </c>
      <c r="D11" s="2">
        <v>0.886750379948675</v>
      </c>
      <c r="E11" s="2">
        <v>7.2256359431780603E-2</v>
      </c>
      <c r="J11" s="29" t="s">
        <v>26</v>
      </c>
      <c r="K11" s="2">
        <v>2.3670882645521196</v>
      </c>
    </row>
    <row r="12" spans="1:11" x14ac:dyDescent="0.45">
      <c r="A12">
        <v>10</v>
      </c>
      <c r="B12" s="2" t="s">
        <v>8</v>
      </c>
      <c r="C12" s="1">
        <v>45231</v>
      </c>
      <c r="D12" s="2">
        <v>0.62100069472261699</v>
      </c>
      <c r="E12" s="2">
        <v>0</v>
      </c>
      <c r="J12" s="29" t="s">
        <v>27</v>
      </c>
      <c r="K12" s="2">
        <v>1.790302664834952</v>
      </c>
    </row>
    <row r="13" spans="1:11" x14ac:dyDescent="0.45">
      <c r="A13">
        <v>11</v>
      </c>
      <c r="B13" s="2" t="s">
        <v>8</v>
      </c>
      <c r="C13" s="1">
        <v>45261</v>
      </c>
      <c r="D13" s="2">
        <v>0.32406316285646902</v>
      </c>
      <c r="E13" s="2">
        <v>0.48485855522784799</v>
      </c>
      <c r="J13" s="29" t="s">
        <v>28</v>
      </c>
      <c r="K13" s="2">
        <v>2.647820544023106</v>
      </c>
    </row>
    <row r="14" spans="1:11" x14ac:dyDescent="0.45">
      <c r="A14">
        <v>12</v>
      </c>
      <c r="B14" s="2" t="s">
        <v>11</v>
      </c>
      <c r="C14" s="1">
        <v>44927</v>
      </c>
      <c r="D14" s="2">
        <v>0</v>
      </c>
      <c r="E14" s="2">
        <v>0</v>
      </c>
      <c r="J14" s="29" t="s">
        <v>29</v>
      </c>
      <c r="K14" s="2">
        <v>3.825557762291564</v>
      </c>
    </row>
    <row r="15" spans="1:11" x14ac:dyDescent="0.45">
      <c r="A15">
        <v>13</v>
      </c>
      <c r="B15" s="2" t="s">
        <v>11</v>
      </c>
      <c r="C15" s="1">
        <v>44958</v>
      </c>
      <c r="D15" s="2">
        <v>1</v>
      </c>
      <c r="E15" s="2">
        <v>0</v>
      </c>
      <c r="J15" s="29" t="s">
        <v>30</v>
      </c>
      <c r="K15" s="2">
        <v>1.6358640460865519</v>
      </c>
    </row>
    <row r="16" spans="1:11" x14ac:dyDescent="0.45">
      <c r="A16">
        <v>14</v>
      </c>
      <c r="B16" s="2" t="s">
        <v>11</v>
      </c>
      <c r="C16" s="1">
        <v>44986</v>
      </c>
      <c r="D16" s="2">
        <v>0</v>
      </c>
      <c r="E16" s="2">
        <v>0</v>
      </c>
      <c r="J16" s="29" t="s">
        <v>31</v>
      </c>
      <c r="K16" s="2">
        <v>1.7502732799539451</v>
      </c>
    </row>
    <row r="17" spans="1:11" x14ac:dyDescent="0.45">
      <c r="A17">
        <v>15</v>
      </c>
      <c r="B17" s="2" t="s">
        <v>11</v>
      </c>
      <c r="C17" s="1">
        <v>45017</v>
      </c>
      <c r="D17" s="2">
        <v>0</v>
      </c>
      <c r="E17" s="2">
        <v>0</v>
      </c>
      <c r="J17" s="29" t="s">
        <v>19</v>
      </c>
      <c r="K17" s="2">
        <v>24.6769529870848</v>
      </c>
    </row>
    <row r="18" spans="1:11" x14ac:dyDescent="0.45">
      <c r="A18">
        <v>16</v>
      </c>
      <c r="B18" s="2" t="s">
        <v>11</v>
      </c>
      <c r="C18" s="1">
        <v>45047</v>
      </c>
      <c r="D18" s="2">
        <v>0</v>
      </c>
      <c r="E18" s="2">
        <v>0</v>
      </c>
    </row>
    <row r="19" spans="1:11" x14ac:dyDescent="0.45">
      <c r="A19">
        <v>17</v>
      </c>
      <c r="B19" s="2" t="s">
        <v>11</v>
      </c>
      <c r="C19" s="1">
        <v>45078</v>
      </c>
      <c r="D19" s="2">
        <v>0</v>
      </c>
      <c r="E19" s="2">
        <v>0</v>
      </c>
    </row>
    <row r="20" spans="1:11" x14ac:dyDescent="0.45">
      <c r="A20">
        <v>18</v>
      </c>
      <c r="B20" s="2" t="s">
        <v>11</v>
      </c>
      <c r="C20" s="1">
        <v>45108</v>
      </c>
      <c r="D20" s="2">
        <v>1.1975246274311599</v>
      </c>
      <c r="E20" s="2">
        <v>0</v>
      </c>
    </row>
    <row r="21" spans="1:11" x14ac:dyDescent="0.45">
      <c r="A21">
        <v>19</v>
      </c>
      <c r="B21" s="2" t="s">
        <v>11</v>
      </c>
      <c r="C21" s="1">
        <v>45139</v>
      </c>
      <c r="D21" s="2">
        <v>0</v>
      </c>
      <c r="E21" s="2">
        <v>0</v>
      </c>
    </row>
    <row r="22" spans="1:11" x14ac:dyDescent="0.45">
      <c r="A22">
        <v>20</v>
      </c>
      <c r="B22" s="2" t="s">
        <v>11</v>
      </c>
      <c r="C22" s="1">
        <v>45170</v>
      </c>
      <c r="D22" s="2">
        <v>0</v>
      </c>
      <c r="E22" s="2">
        <v>0</v>
      </c>
    </row>
    <row r="23" spans="1:11" x14ac:dyDescent="0.45">
      <c r="A23">
        <v>21</v>
      </c>
      <c r="B23" s="2" t="s">
        <v>11</v>
      </c>
      <c r="C23" s="1">
        <v>45200</v>
      </c>
      <c r="D23" s="2">
        <v>0.26497328704655598</v>
      </c>
      <c r="E23" s="2">
        <v>0</v>
      </c>
    </row>
    <row r="24" spans="1:11" x14ac:dyDescent="0.45">
      <c r="A24">
        <v>22</v>
      </c>
      <c r="B24" s="2" t="s">
        <v>11</v>
      </c>
      <c r="C24" s="1">
        <v>45231</v>
      </c>
      <c r="D24" s="2">
        <v>0</v>
      </c>
      <c r="E24" s="2">
        <v>0</v>
      </c>
    </row>
    <row r="25" spans="1:11" x14ac:dyDescent="0.45">
      <c r="A25">
        <v>23</v>
      </c>
      <c r="B25" s="2" t="s">
        <v>11</v>
      </c>
      <c r="C25" s="1">
        <v>45261</v>
      </c>
      <c r="D25" s="2">
        <v>0</v>
      </c>
      <c r="E25" s="2">
        <v>0</v>
      </c>
    </row>
    <row r="26" spans="1:11" x14ac:dyDescent="0.45">
      <c r="A26">
        <v>24</v>
      </c>
      <c r="B26" s="2" t="s">
        <v>15</v>
      </c>
      <c r="C26" s="1">
        <v>44927</v>
      </c>
      <c r="D26" s="2">
        <v>0.38657759183643903</v>
      </c>
      <c r="E26" s="2">
        <v>0</v>
      </c>
    </row>
    <row r="27" spans="1:11" x14ac:dyDescent="0.45">
      <c r="A27">
        <v>25</v>
      </c>
      <c r="B27" s="2" t="s">
        <v>15</v>
      </c>
      <c r="C27" s="1">
        <v>44958</v>
      </c>
      <c r="D27" s="2">
        <v>0.27689984424320602</v>
      </c>
      <c r="E27" s="2">
        <v>0.117985173259325</v>
      </c>
    </row>
    <row r="28" spans="1:11" x14ac:dyDescent="0.45">
      <c r="A28">
        <v>26</v>
      </c>
      <c r="B28" s="2" t="s">
        <v>15</v>
      </c>
      <c r="C28" s="1">
        <v>44986</v>
      </c>
      <c r="D28" s="2">
        <v>0.92099059411834705</v>
      </c>
      <c r="E28" s="2">
        <v>0</v>
      </c>
    </row>
    <row r="29" spans="1:11" x14ac:dyDescent="0.45">
      <c r="A29">
        <v>27</v>
      </c>
      <c r="B29" s="2" t="s">
        <v>15</v>
      </c>
      <c r="C29" s="1">
        <v>45017</v>
      </c>
      <c r="D29" s="2">
        <v>1.06583461537496</v>
      </c>
      <c r="E29" s="2">
        <v>0</v>
      </c>
    </row>
    <row r="30" spans="1:11" x14ac:dyDescent="0.45">
      <c r="A30">
        <v>28</v>
      </c>
      <c r="B30" s="2" t="s">
        <v>15</v>
      </c>
      <c r="C30" s="1">
        <v>45047</v>
      </c>
      <c r="D30" s="2">
        <v>0.23740644184677401</v>
      </c>
      <c r="E30" s="2">
        <v>0</v>
      </c>
    </row>
    <row r="31" spans="1:11" x14ac:dyDescent="0.45">
      <c r="A31">
        <v>29</v>
      </c>
      <c r="B31" s="2" t="s">
        <v>15</v>
      </c>
      <c r="C31" s="1">
        <v>45078</v>
      </c>
      <c r="D31" s="2">
        <v>0.766422495274102</v>
      </c>
      <c r="E31" s="2">
        <v>0</v>
      </c>
    </row>
    <row r="32" spans="1:11" x14ac:dyDescent="0.45">
      <c r="A32">
        <v>30</v>
      </c>
      <c r="B32" s="2" t="s">
        <v>15</v>
      </c>
      <c r="C32" s="1">
        <v>45108</v>
      </c>
      <c r="D32" s="2">
        <v>0.61908809803630704</v>
      </c>
      <c r="E32" s="2">
        <v>0</v>
      </c>
    </row>
    <row r="33" spans="1:11" x14ac:dyDescent="0.45">
      <c r="A33">
        <v>31</v>
      </c>
      <c r="B33" s="2" t="s">
        <v>15</v>
      </c>
      <c r="C33" s="1">
        <v>45139</v>
      </c>
      <c r="D33" s="2">
        <v>0.45625519461434499</v>
      </c>
      <c r="E33" s="2">
        <v>0</v>
      </c>
    </row>
    <row r="34" spans="1:11" x14ac:dyDescent="0.45">
      <c r="A34">
        <v>32</v>
      </c>
      <c r="B34" s="2" t="s">
        <v>15</v>
      </c>
      <c r="C34" s="1">
        <v>45170</v>
      </c>
      <c r="D34" s="2">
        <v>0.29472005188897799</v>
      </c>
      <c r="E34" s="2">
        <v>0</v>
      </c>
    </row>
    <row r="35" spans="1:11" x14ac:dyDescent="0.45">
      <c r="A35">
        <v>33</v>
      </c>
      <c r="B35" s="2" t="s">
        <v>15</v>
      </c>
      <c r="C35" s="1">
        <v>45200</v>
      </c>
      <c r="D35" s="2">
        <v>0.84179829223777403</v>
      </c>
      <c r="E35" s="2">
        <v>0</v>
      </c>
    </row>
    <row r="36" spans="1:11" x14ac:dyDescent="0.45">
      <c r="A36">
        <v>34</v>
      </c>
      <c r="B36" s="2" t="s">
        <v>15</v>
      </c>
      <c r="C36" s="1">
        <v>45231</v>
      </c>
      <c r="D36" s="2">
        <v>0.178626289225367</v>
      </c>
      <c r="E36" s="2">
        <v>0</v>
      </c>
    </row>
    <row r="37" spans="1:11" x14ac:dyDescent="0.45">
      <c r="A37">
        <v>35</v>
      </c>
      <c r="B37" s="2" t="s">
        <v>15</v>
      </c>
      <c r="C37" s="1">
        <v>45261</v>
      </c>
      <c r="D37" s="2">
        <v>0.79106148159716805</v>
      </c>
      <c r="E37" s="2">
        <v>0</v>
      </c>
    </row>
    <row r="38" spans="1:11" x14ac:dyDescent="0.45">
      <c r="A38">
        <v>36</v>
      </c>
      <c r="B38" s="2" t="s">
        <v>9</v>
      </c>
      <c r="C38" s="1">
        <v>44927</v>
      </c>
      <c r="D38" s="2">
        <v>0</v>
      </c>
      <c r="E38" s="2">
        <v>0</v>
      </c>
    </row>
    <row r="39" spans="1:11" x14ac:dyDescent="0.45">
      <c r="A39">
        <v>37</v>
      </c>
      <c r="B39" s="2" t="s">
        <v>9</v>
      </c>
      <c r="C39" s="1">
        <v>44958</v>
      </c>
      <c r="D39" s="2">
        <v>0</v>
      </c>
      <c r="E39" s="2">
        <v>0</v>
      </c>
    </row>
    <row r="40" spans="1:11" x14ac:dyDescent="0.45">
      <c r="A40">
        <v>38</v>
      </c>
      <c r="B40" s="2" t="s">
        <v>9</v>
      </c>
      <c r="C40" s="1">
        <v>44986</v>
      </c>
      <c r="D40" s="2">
        <v>0</v>
      </c>
      <c r="E40" s="2">
        <v>0</v>
      </c>
    </row>
    <row r="41" spans="1:11" x14ac:dyDescent="0.45">
      <c r="A41">
        <v>39</v>
      </c>
      <c r="B41" s="2" t="s">
        <v>9</v>
      </c>
      <c r="C41" s="1">
        <v>45017</v>
      </c>
      <c r="D41" s="2">
        <v>0.23772236788051701</v>
      </c>
      <c r="E41" s="2">
        <v>0</v>
      </c>
    </row>
    <row r="42" spans="1:11" x14ac:dyDescent="0.45">
      <c r="A42">
        <v>40</v>
      </c>
      <c r="B42" s="2" t="s">
        <v>9</v>
      </c>
      <c r="C42" s="1">
        <v>45047</v>
      </c>
      <c r="D42" s="2">
        <v>1</v>
      </c>
      <c r="E42" s="2">
        <v>0</v>
      </c>
    </row>
    <row r="43" spans="1:11" x14ac:dyDescent="0.45">
      <c r="A43">
        <v>41</v>
      </c>
      <c r="B43" s="2" t="s">
        <v>9</v>
      </c>
      <c r="C43" s="1">
        <v>45078</v>
      </c>
      <c r="D43" s="2">
        <v>0</v>
      </c>
      <c r="E43" s="2">
        <v>0</v>
      </c>
    </row>
    <row r="44" spans="1:11" x14ac:dyDescent="0.45">
      <c r="A44">
        <v>42</v>
      </c>
      <c r="B44" s="2" t="s">
        <v>9</v>
      </c>
      <c r="C44" s="1">
        <v>45108</v>
      </c>
      <c r="D44" s="2">
        <v>0</v>
      </c>
      <c r="E44" s="2">
        <v>0</v>
      </c>
    </row>
    <row r="45" spans="1:11" x14ac:dyDescent="0.45">
      <c r="A45">
        <v>43</v>
      </c>
      <c r="B45" s="2" t="s">
        <v>9</v>
      </c>
      <c r="C45" s="1">
        <v>45139</v>
      </c>
      <c r="D45" s="2">
        <v>0.38030979056784597</v>
      </c>
      <c r="E45" s="2">
        <v>0</v>
      </c>
    </row>
    <row r="46" spans="1:11" x14ac:dyDescent="0.45">
      <c r="A46">
        <v>44</v>
      </c>
      <c r="B46" s="2" t="s">
        <v>9</v>
      </c>
      <c r="C46" s="1">
        <v>45170</v>
      </c>
      <c r="D46" s="2">
        <v>1</v>
      </c>
      <c r="E46" s="2">
        <v>0</v>
      </c>
      <c r="J46" s="28" t="s">
        <v>7</v>
      </c>
      <c r="K46" t="s">
        <v>32</v>
      </c>
    </row>
    <row r="47" spans="1:11" x14ac:dyDescent="0.45">
      <c r="A47">
        <v>45</v>
      </c>
      <c r="B47" s="2" t="s">
        <v>9</v>
      </c>
      <c r="C47" s="1">
        <v>45200</v>
      </c>
      <c r="D47" s="2">
        <v>0</v>
      </c>
      <c r="E47" s="2">
        <v>0</v>
      </c>
    </row>
    <row r="48" spans="1:11" x14ac:dyDescent="0.45">
      <c r="A48">
        <v>46</v>
      </c>
      <c r="B48" s="2" t="s">
        <v>9</v>
      </c>
      <c r="C48" s="1">
        <v>45231</v>
      </c>
      <c r="D48" s="2">
        <v>0</v>
      </c>
      <c r="E48" s="2">
        <v>0</v>
      </c>
      <c r="J48" s="28" t="s">
        <v>18</v>
      </c>
      <c r="K48" t="s">
        <v>34</v>
      </c>
    </row>
    <row r="49" spans="1:11" x14ac:dyDescent="0.45">
      <c r="A49">
        <v>47</v>
      </c>
      <c r="B49" s="2" t="s">
        <v>9</v>
      </c>
      <c r="C49" s="1">
        <v>45261</v>
      </c>
      <c r="D49" s="2">
        <v>0</v>
      </c>
      <c r="E49" s="2">
        <v>0</v>
      </c>
      <c r="J49" s="29" t="s">
        <v>20</v>
      </c>
      <c r="K49" s="2">
        <v>0.58826702559560395</v>
      </c>
    </row>
    <row r="50" spans="1:11" x14ac:dyDescent="0.45">
      <c r="A50">
        <v>48</v>
      </c>
      <c r="B50" s="2" t="s">
        <v>13</v>
      </c>
      <c r="C50" s="1">
        <v>44927</v>
      </c>
      <c r="D50" s="2">
        <v>0.26625118547622201</v>
      </c>
      <c r="E50" s="2">
        <v>0</v>
      </c>
      <c r="J50" s="29" t="s">
        <v>21</v>
      </c>
      <c r="K50" s="2">
        <v>0.70296117544375303</v>
      </c>
    </row>
    <row r="51" spans="1:11" x14ac:dyDescent="0.45">
      <c r="A51">
        <v>49</v>
      </c>
      <c r="B51" s="2" t="s">
        <v>13</v>
      </c>
      <c r="C51" s="1">
        <v>44958</v>
      </c>
      <c r="D51" s="2">
        <v>0</v>
      </c>
      <c r="E51" s="2">
        <v>0</v>
      </c>
      <c r="J51" s="29" t="s">
        <v>22</v>
      </c>
      <c r="K51" s="2">
        <v>1.5489508118566211</v>
      </c>
    </row>
    <row r="52" spans="1:11" x14ac:dyDescent="0.45">
      <c r="A52">
        <v>50</v>
      </c>
      <c r="B52" s="2" t="s">
        <v>13</v>
      </c>
      <c r="C52" s="1">
        <v>44986</v>
      </c>
      <c r="D52" s="2">
        <v>0.59798045001844302</v>
      </c>
      <c r="E52" s="2">
        <v>0</v>
      </c>
      <c r="J52" s="29" t="s">
        <v>23</v>
      </c>
      <c r="K52" s="2">
        <v>1.8500608672752401</v>
      </c>
    </row>
    <row r="53" spans="1:11" x14ac:dyDescent="0.45">
      <c r="A53">
        <v>51</v>
      </c>
      <c r="B53" s="2" t="s">
        <v>13</v>
      </c>
      <c r="C53" s="1">
        <v>45017</v>
      </c>
      <c r="D53" s="2">
        <v>0.142221528374053</v>
      </c>
      <c r="E53" s="2">
        <v>0.19090664514393299</v>
      </c>
      <c r="J53" s="29" t="s">
        <v>24</v>
      </c>
      <c r="K53" s="2">
        <v>1.1505208333333301</v>
      </c>
    </row>
    <row r="54" spans="1:11" x14ac:dyDescent="0.45">
      <c r="A54">
        <v>52</v>
      </c>
      <c r="B54" s="2" t="s">
        <v>13</v>
      </c>
      <c r="C54" s="1">
        <v>45047</v>
      </c>
      <c r="D54" s="2">
        <v>0.59343213674018602</v>
      </c>
      <c r="E54" s="2">
        <v>0</v>
      </c>
      <c r="J54" s="29" t="s">
        <v>25</v>
      </c>
      <c r="K54" s="2">
        <v>1.1505208333333301</v>
      </c>
    </row>
    <row r="55" spans="1:11" x14ac:dyDescent="0.45">
      <c r="A55">
        <v>53</v>
      </c>
      <c r="B55" s="2" t="s">
        <v>13</v>
      </c>
      <c r="C55" s="1">
        <v>45078</v>
      </c>
      <c r="D55" s="2">
        <v>0</v>
      </c>
      <c r="E55" s="2">
        <v>0</v>
      </c>
      <c r="J55" s="29" t="s">
        <v>26</v>
      </c>
      <c r="K55" s="2">
        <v>1.022065127792545</v>
      </c>
    </row>
    <row r="56" spans="1:11" x14ac:dyDescent="0.45">
      <c r="A56">
        <v>54</v>
      </c>
      <c r="B56" s="2" t="s">
        <v>13</v>
      </c>
      <c r="C56" s="1">
        <v>45108</v>
      </c>
      <c r="D56" s="2">
        <v>9.6051892970747801E-2</v>
      </c>
      <c r="E56" s="2">
        <v>0.50578598361721405</v>
      </c>
      <c r="J56" s="29" t="s">
        <v>27</v>
      </c>
      <c r="K56" s="2">
        <v>1.5530651625352501</v>
      </c>
    </row>
    <row r="57" spans="1:11" x14ac:dyDescent="0.45">
      <c r="A57">
        <v>55</v>
      </c>
      <c r="B57" s="2" t="s">
        <v>13</v>
      </c>
      <c r="C57" s="1">
        <v>45139</v>
      </c>
      <c r="D57" s="2">
        <v>0.30895287208136302</v>
      </c>
      <c r="E57" s="2">
        <v>0</v>
      </c>
      <c r="J57" s="29" t="s">
        <v>28</v>
      </c>
      <c r="K57" s="2">
        <v>0</v>
      </c>
    </row>
    <row r="58" spans="1:11" x14ac:dyDescent="0.45">
      <c r="A58">
        <v>56</v>
      </c>
      <c r="B58" s="2" t="s">
        <v>13</v>
      </c>
      <c r="C58" s="1">
        <v>45170</v>
      </c>
      <c r="D58" s="2">
        <v>0.454382553273806</v>
      </c>
      <c r="E58" s="2">
        <v>0</v>
      </c>
      <c r="J58" s="29" t="s">
        <v>29</v>
      </c>
      <c r="K58" s="2">
        <v>0.69398423764300765</v>
      </c>
    </row>
    <row r="59" spans="1:11" x14ac:dyDescent="0.45">
      <c r="A59">
        <v>57</v>
      </c>
      <c r="B59" s="2" t="s">
        <v>13</v>
      </c>
      <c r="C59" s="1">
        <v>45200</v>
      </c>
      <c r="D59" s="2">
        <v>0.793626210254749</v>
      </c>
      <c r="E59" s="2">
        <v>0.62172787821122699</v>
      </c>
      <c r="J59" s="29" t="s">
        <v>30</v>
      </c>
      <c r="K59" s="2">
        <v>0.189837047072313</v>
      </c>
    </row>
    <row r="60" spans="1:11" x14ac:dyDescent="0.45">
      <c r="A60">
        <v>58</v>
      </c>
      <c r="B60" s="2" t="s">
        <v>13</v>
      </c>
      <c r="C60" s="1">
        <v>45231</v>
      </c>
      <c r="D60" s="2">
        <v>0</v>
      </c>
      <c r="E60" s="2">
        <v>0.189837047072313</v>
      </c>
      <c r="J60" s="29" t="s">
        <v>31</v>
      </c>
      <c r="K60" s="2">
        <v>1.0731255808234521</v>
      </c>
    </row>
    <row r="61" spans="1:11" x14ac:dyDescent="0.45">
      <c r="A61">
        <v>59</v>
      </c>
      <c r="B61" s="2" t="s">
        <v>13</v>
      </c>
      <c r="C61" s="1">
        <v>45261</v>
      </c>
      <c r="D61" s="2">
        <v>0</v>
      </c>
      <c r="E61" s="2">
        <v>0.189837047072313</v>
      </c>
      <c r="J61" s="29" t="s">
        <v>19</v>
      </c>
      <c r="K61" s="2">
        <v>11.523358702704446</v>
      </c>
    </row>
    <row r="62" spans="1:11" x14ac:dyDescent="0.45">
      <c r="A62">
        <v>60</v>
      </c>
      <c r="B62" s="2" t="s">
        <v>14</v>
      </c>
      <c r="C62" s="1">
        <v>44927</v>
      </c>
      <c r="D62" s="2">
        <v>0</v>
      </c>
      <c r="E62" s="2">
        <v>0.189837047072313</v>
      </c>
    </row>
    <row r="63" spans="1:11" x14ac:dyDescent="0.45">
      <c r="A63">
        <v>61</v>
      </c>
      <c r="B63" s="2" t="s">
        <v>14</v>
      </c>
      <c r="C63" s="1">
        <v>44958</v>
      </c>
      <c r="D63" s="2">
        <v>0</v>
      </c>
      <c r="E63" s="2">
        <v>0</v>
      </c>
    </row>
    <row r="64" spans="1:11" x14ac:dyDescent="0.45">
      <c r="A64">
        <v>62</v>
      </c>
      <c r="B64" s="2" t="s">
        <v>14</v>
      </c>
      <c r="C64" s="1">
        <v>44986</v>
      </c>
      <c r="D64" s="2">
        <v>0</v>
      </c>
      <c r="E64" s="2">
        <v>1.1505208333333301</v>
      </c>
    </row>
    <row r="65" spans="1:5" x14ac:dyDescent="0.45">
      <c r="A65">
        <v>63</v>
      </c>
      <c r="B65" s="2" t="s">
        <v>14</v>
      </c>
      <c r="C65" s="1">
        <v>45017</v>
      </c>
      <c r="D65" s="2">
        <v>0</v>
      </c>
      <c r="E65" s="2">
        <v>1.1505208333333301</v>
      </c>
    </row>
    <row r="66" spans="1:5" x14ac:dyDescent="0.45">
      <c r="A66">
        <v>64</v>
      </c>
      <c r="B66" s="2" t="s">
        <v>14</v>
      </c>
      <c r="C66" s="1">
        <v>45047</v>
      </c>
      <c r="D66" s="2">
        <v>0</v>
      </c>
      <c r="E66" s="2">
        <v>1.1505208333333301</v>
      </c>
    </row>
    <row r="67" spans="1:5" x14ac:dyDescent="0.45">
      <c r="A67">
        <v>65</v>
      </c>
      <c r="B67" s="2" t="s">
        <v>14</v>
      </c>
      <c r="C67" s="1">
        <v>45078</v>
      </c>
      <c r="D67" s="2">
        <v>0</v>
      </c>
      <c r="E67" s="2">
        <v>1.1505208333333301</v>
      </c>
    </row>
    <row r="68" spans="1:5" x14ac:dyDescent="0.45">
      <c r="A68">
        <v>66</v>
      </c>
      <c r="B68" s="2" t="s">
        <v>14</v>
      </c>
      <c r="C68" s="1">
        <v>45108</v>
      </c>
      <c r="D68" s="2">
        <v>0</v>
      </c>
      <c r="E68" s="2">
        <v>0.51627914417533105</v>
      </c>
    </row>
    <row r="69" spans="1:5" x14ac:dyDescent="0.45">
      <c r="A69">
        <v>67</v>
      </c>
      <c r="B69" s="2" t="s">
        <v>14</v>
      </c>
      <c r="C69" s="1">
        <v>45139</v>
      </c>
      <c r="D69" s="2">
        <v>0.167280955491275</v>
      </c>
      <c r="E69" s="2">
        <v>1.5530651625352501</v>
      </c>
    </row>
    <row r="70" spans="1:5" x14ac:dyDescent="0.45">
      <c r="A70">
        <v>68</v>
      </c>
      <c r="B70" s="2" t="s">
        <v>14</v>
      </c>
      <c r="C70" s="1">
        <v>45170</v>
      </c>
      <c r="D70" s="2">
        <v>0.76547038038960902</v>
      </c>
      <c r="E70" s="2">
        <v>0</v>
      </c>
    </row>
    <row r="71" spans="1:5" x14ac:dyDescent="0.45">
      <c r="A71">
        <v>69</v>
      </c>
      <c r="B71" s="2" t="s">
        <v>14</v>
      </c>
      <c r="C71" s="1">
        <v>45200</v>
      </c>
      <c r="D71" s="2">
        <v>1.03840959280381</v>
      </c>
      <c r="E71" s="2">
        <v>0</v>
      </c>
    </row>
    <row r="72" spans="1:5" x14ac:dyDescent="0.45">
      <c r="A72">
        <v>70</v>
      </c>
      <c r="B72" s="2" t="s">
        <v>14</v>
      </c>
      <c r="C72" s="1">
        <v>45231</v>
      </c>
      <c r="D72" s="2">
        <v>0.83623706213856797</v>
      </c>
      <c r="E72" s="2">
        <v>0</v>
      </c>
    </row>
    <row r="73" spans="1:5" x14ac:dyDescent="0.45">
      <c r="A73">
        <v>71</v>
      </c>
      <c r="B73" s="2" t="s">
        <v>14</v>
      </c>
      <c r="C73" s="1">
        <v>45261</v>
      </c>
      <c r="D73" s="2">
        <v>0.361136971145255</v>
      </c>
      <c r="E73" s="2">
        <v>0.39842997852329098</v>
      </c>
    </row>
    <row r="74" spans="1:5" x14ac:dyDescent="0.45">
      <c r="A74">
        <v>72</v>
      </c>
      <c r="B74" s="2" t="s">
        <v>10</v>
      </c>
      <c r="C74" s="1">
        <v>44927</v>
      </c>
      <c r="D74" s="2">
        <v>0</v>
      </c>
      <c r="E74" s="2">
        <v>0.39842997852329098</v>
      </c>
    </row>
    <row r="75" spans="1:5" x14ac:dyDescent="0.45">
      <c r="A75">
        <v>73</v>
      </c>
      <c r="B75" s="2" t="s">
        <v>10</v>
      </c>
      <c r="C75" s="1">
        <v>44958</v>
      </c>
      <c r="D75" s="2">
        <v>0</v>
      </c>
      <c r="E75" s="2">
        <v>0.39842997852329098</v>
      </c>
    </row>
    <row r="76" spans="1:5" x14ac:dyDescent="0.45">
      <c r="A76">
        <v>74</v>
      </c>
      <c r="B76" s="2" t="s">
        <v>10</v>
      </c>
      <c r="C76" s="1">
        <v>44986</v>
      </c>
      <c r="D76" s="2">
        <v>0</v>
      </c>
      <c r="E76" s="2">
        <v>0.39842997852329098</v>
      </c>
    </row>
    <row r="77" spans="1:5" x14ac:dyDescent="0.45">
      <c r="A77">
        <v>75</v>
      </c>
      <c r="B77" s="2" t="s">
        <v>10</v>
      </c>
      <c r="C77" s="1">
        <v>45017</v>
      </c>
      <c r="D77" s="2">
        <v>0</v>
      </c>
      <c r="E77" s="2">
        <v>0.39842997852329098</v>
      </c>
    </row>
    <row r="78" spans="1:5" x14ac:dyDescent="0.45">
      <c r="A78">
        <v>76</v>
      </c>
      <c r="B78" s="2" t="s">
        <v>10</v>
      </c>
      <c r="C78" s="1">
        <v>45047</v>
      </c>
      <c r="D78" s="2">
        <v>0</v>
      </c>
      <c r="E78" s="2">
        <v>0</v>
      </c>
    </row>
    <row r="79" spans="1:5" x14ac:dyDescent="0.45">
      <c r="A79">
        <v>77</v>
      </c>
      <c r="B79" s="2" t="s">
        <v>10</v>
      </c>
      <c r="C79" s="1">
        <v>45078</v>
      </c>
      <c r="D79" s="2">
        <v>0</v>
      </c>
      <c r="E79" s="2">
        <v>0</v>
      </c>
    </row>
    <row r="80" spans="1:5" x14ac:dyDescent="0.45">
      <c r="A80">
        <v>78</v>
      </c>
      <c r="B80" s="2" t="s">
        <v>10</v>
      </c>
      <c r="C80" s="1">
        <v>45108</v>
      </c>
      <c r="D80" s="2">
        <v>0</v>
      </c>
      <c r="E80" s="2">
        <v>0</v>
      </c>
    </row>
    <row r="81" spans="1:5" x14ac:dyDescent="0.45">
      <c r="A81">
        <v>79</v>
      </c>
      <c r="B81" s="2" t="s">
        <v>10</v>
      </c>
      <c r="C81" s="1">
        <v>45139</v>
      </c>
      <c r="D81" s="2">
        <v>0</v>
      </c>
      <c r="E81" s="2">
        <v>0</v>
      </c>
    </row>
    <row r="82" spans="1:5" x14ac:dyDescent="0.45">
      <c r="A82">
        <v>80</v>
      </c>
      <c r="B82" s="2" t="s">
        <v>10</v>
      </c>
      <c r="C82" s="1">
        <v>45170</v>
      </c>
      <c r="D82" s="2">
        <v>0</v>
      </c>
      <c r="E82" s="2">
        <v>0</v>
      </c>
    </row>
    <row r="83" spans="1:5" x14ac:dyDescent="0.45">
      <c r="A83">
        <v>81</v>
      </c>
      <c r="B83" s="2" t="s">
        <v>10</v>
      </c>
      <c r="C83" s="1">
        <v>45200</v>
      </c>
      <c r="D83" s="2">
        <v>0</v>
      </c>
      <c r="E83" s="2">
        <v>0</v>
      </c>
    </row>
    <row r="84" spans="1:5" x14ac:dyDescent="0.45">
      <c r="A84">
        <v>82</v>
      </c>
      <c r="B84" s="2" t="s">
        <v>10</v>
      </c>
      <c r="C84" s="1">
        <v>45231</v>
      </c>
      <c r="D84" s="2">
        <v>0</v>
      </c>
      <c r="E84" s="2">
        <v>0</v>
      </c>
    </row>
    <row r="85" spans="1:5" x14ac:dyDescent="0.45">
      <c r="A85">
        <v>83</v>
      </c>
      <c r="B85" s="2" t="s">
        <v>10</v>
      </c>
      <c r="C85" s="1">
        <v>45261</v>
      </c>
      <c r="D85" s="2">
        <v>0.27401166435505298</v>
      </c>
      <c r="E85" s="2">
        <v>0</v>
      </c>
    </row>
    <row r="86" spans="1:5" x14ac:dyDescent="0.45">
      <c r="A86">
        <v>84</v>
      </c>
      <c r="B86" s="2" t="s">
        <v>17</v>
      </c>
      <c r="C86" s="1">
        <v>44927</v>
      </c>
      <c r="D86" s="2">
        <v>0</v>
      </c>
      <c r="E86" s="2">
        <v>0</v>
      </c>
    </row>
    <row r="87" spans="1:5" x14ac:dyDescent="0.45">
      <c r="A87">
        <v>85</v>
      </c>
      <c r="B87" s="2" t="s">
        <v>17</v>
      </c>
      <c r="C87" s="1">
        <v>44958</v>
      </c>
      <c r="D87" s="2">
        <v>0</v>
      </c>
      <c r="E87" s="2">
        <v>0</v>
      </c>
    </row>
    <row r="88" spans="1:5" x14ac:dyDescent="0.45">
      <c r="A88">
        <v>86</v>
      </c>
      <c r="B88" s="2" t="s">
        <v>17</v>
      </c>
      <c r="C88" s="1">
        <v>44986</v>
      </c>
      <c r="D88" s="2">
        <v>0</v>
      </c>
      <c r="E88" s="2">
        <v>0</v>
      </c>
    </row>
    <row r="89" spans="1:5" x14ac:dyDescent="0.45">
      <c r="A89">
        <v>87</v>
      </c>
      <c r="B89" s="2" t="s">
        <v>17</v>
      </c>
      <c r="C89" s="1">
        <v>45017</v>
      </c>
      <c r="D89" s="2">
        <v>0</v>
      </c>
      <c r="E89" s="2">
        <v>0</v>
      </c>
    </row>
    <row r="90" spans="1:5" x14ac:dyDescent="0.45">
      <c r="A90">
        <v>88</v>
      </c>
      <c r="B90" s="2" t="s">
        <v>17</v>
      </c>
      <c r="C90" s="1">
        <v>45047</v>
      </c>
      <c r="D90" s="2">
        <v>0</v>
      </c>
      <c r="E90" s="2">
        <v>0</v>
      </c>
    </row>
    <row r="91" spans="1:5" x14ac:dyDescent="0.45">
      <c r="A91">
        <v>89</v>
      </c>
      <c r="B91" s="2" t="s">
        <v>17</v>
      </c>
      <c r="C91" s="1">
        <v>45078</v>
      </c>
      <c r="D91" s="2">
        <v>0</v>
      </c>
      <c r="E91" s="2">
        <v>0</v>
      </c>
    </row>
    <row r="92" spans="1:5" x14ac:dyDescent="0.45">
      <c r="A92">
        <v>90</v>
      </c>
      <c r="B92" s="2" t="s">
        <v>17</v>
      </c>
      <c r="C92" s="1">
        <v>45108</v>
      </c>
      <c r="D92" s="2">
        <v>0</v>
      </c>
      <c r="E92" s="2">
        <v>0</v>
      </c>
    </row>
    <row r="93" spans="1:5" x14ac:dyDescent="0.45">
      <c r="A93">
        <v>91</v>
      </c>
      <c r="B93" s="2" t="s">
        <v>17</v>
      </c>
      <c r="C93" s="1">
        <v>45139</v>
      </c>
      <c r="D93" s="2">
        <v>0</v>
      </c>
      <c r="E93" s="2">
        <v>0</v>
      </c>
    </row>
    <row r="94" spans="1:5" x14ac:dyDescent="0.45">
      <c r="A94">
        <v>92</v>
      </c>
      <c r="B94" s="2" t="s">
        <v>17</v>
      </c>
      <c r="C94" s="1">
        <v>45170</v>
      </c>
      <c r="D94" s="2">
        <v>0</v>
      </c>
      <c r="E94" s="2">
        <v>0</v>
      </c>
    </row>
    <row r="95" spans="1:5" x14ac:dyDescent="0.45">
      <c r="A95">
        <v>93</v>
      </c>
      <c r="B95" s="2" t="s">
        <v>17</v>
      </c>
      <c r="C95" s="1">
        <v>45200</v>
      </c>
      <c r="D95" s="2">
        <v>0</v>
      </c>
      <c r="E95" s="2">
        <v>0</v>
      </c>
    </row>
    <row r="96" spans="1:5" x14ac:dyDescent="0.45">
      <c r="A96">
        <v>94</v>
      </c>
      <c r="B96" s="2" t="s">
        <v>17</v>
      </c>
      <c r="C96" s="1">
        <v>45231</v>
      </c>
      <c r="D96" s="2">
        <v>0</v>
      </c>
      <c r="E96" s="2">
        <v>0</v>
      </c>
    </row>
    <row r="97" spans="1:5" x14ac:dyDescent="0.45">
      <c r="A97">
        <v>95</v>
      </c>
      <c r="B97" s="2" t="s">
        <v>17</v>
      </c>
      <c r="C97" s="1">
        <v>45261</v>
      </c>
      <c r="D97" s="2">
        <v>0</v>
      </c>
      <c r="E97" s="2">
        <v>0</v>
      </c>
    </row>
    <row r="98" spans="1:5" x14ac:dyDescent="0.45">
      <c r="A98">
        <v>96</v>
      </c>
      <c r="B98" s="2" t="s">
        <v>12</v>
      </c>
      <c r="C98" s="1">
        <v>44927</v>
      </c>
      <c r="D98" s="2">
        <v>0</v>
      </c>
      <c r="E98" s="2">
        <v>0</v>
      </c>
    </row>
    <row r="99" spans="1:5" x14ac:dyDescent="0.45">
      <c r="A99">
        <v>97</v>
      </c>
      <c r="B99" s="2" t="s">
        <v>12</v>
      </c>
      <c r="C99" s="1">
        <v>44958</v>
      </c>
      <c r="D99" s="2">
        <v>0</v>
      </c>
      <c r="E99" s="2">
        <v>0</v>
      </c>
    </row>
    <row r="100" spans="1:5" x14ac:dyDescent="0.45">
      <c r="A100">
        <v>98</v>
      </c>
      <c r="B100" s="2" t="s">
        <v>12</v>
      </c>
      <c r="C100" s="1">
        <v>44986</v>
      </c>
      <c r="D100" s="2">
        <v>0</v>
      </c>
      <c r="E100" s="2">
        <v>0</v>
      </c>
    </row>
    <row r="101" spans="1:5" x14ac:dyDescent="0.45">
      <c r="A101">
        <v>99</v>
      </c>
      <c r="B101" s="2" t="s">
        <v>12</v>
      </c>
      <c r="C101" s="1">
        <v>45017</v>
      </c>
      <c r="D101" s="2">
        <v>0</v>
      </c>
      <c r="E101" s="2">
        <v>0</v>
      </c>
    </row>
    <row r="102" spans="1:5" x14ac:dyDescent="0.45">
      <c r="A102">
        <v>100</v>
      </c>
      <c r="B102" s="2" t="s">
        <v>12</v>
      </c>
      <c r="C102" s="1">
        <v>45047</v>
      </c>
      <c r="D102" s="2">
        <v>0</v>
      </c>
      <c r="E102" s="2">
        <v>0</v>
      </c>
    </row>
    <row r="103" spans="1:5" x14ac:dyDescent="0.45">
      <c r="A103">
        <v>101</v>
      </c>
      <c r="B103" s="2" t="s">
        <v>12</v>
      </c>
      <c r="C103" s="1">
        <v>45078</v>
      </c>
      <c r="D103" s="2">
        <v>0</v>
      </c>
      <c r="E103" s="2">
        <v>0</v>
      </c>
    </row>
    <row r="104" spans="1:5" x14ac:dyDescent="0.45">
      <c r="A104">
        <v>102</v>
      </c>
      <c r="B104" s="2" t="s">
        <v>12</v>
      </c>
      <c r="C104" s="1">
        <v>45108</v>
      </c>
      <c r="D104" s="2">
        <v>0</v>
      </c>
      <c r="E104" s="2">
        <v>0</v>
      </c>
    </row>
    <row r="105" spans="1:5" x14ac:dyDescent="0.45">
      <c r="A105">
        <v>103</v>
      </c>
      <c r="B105" s="2" t="s">
        <v>12</v>
      </c>
      <c r="C105" s="1">
        <v>45139</v>
      </c>
      <c r="D105" s="2">
        <v>0</v>
      </c>
      <c r="E105" s="2">
        <v>0</v>
      </c>
    </row>
    <row r="106" spans="1:5" x14ac:dyDescent="0.45">
      <c r="A106">
        <v>104</v>
      </c>
      <c r="B106" s="2" t="s">
        <v>12</v>
      </c>
      <c r="C106" s="1">
        <v>45170</v>
      </c>
      <c r="D106" s="2">
        <v>0</v>
      </c>
      <c r="E106" s="2">
        <v>0</v>
      </c>
    </row>
    <row r="107" spans="1:5" x14ac:dyDescent="0.45">
      <c r="A107">
        <v>105</v>
      </c>
      <c r="B107" s="2" t="s">
        <v>12</v>
      </c>
      <c r="C107" s="1">
        <v>45200</v>
      </c>
      <c r="D107" s="2">
        <v>0</v>
      </c>
      <c r="E107" s="2">
        <v>0</v>
      </c>
    </row>
    <row r="108" spans="1:5" x14ac:dyDescent="0.45">
      <c r="A108">
        <v>106</v>
      </c>
      <c r="B108" s="2" t="s">
        <v>12</v>
      </c>
      <c r="C108" s="1">
        <v>45231</v>
      </c>
      <c r="D108" s="2">
        <v>0</v>
      </c>
      <c r="E108" s="2">
        <v>0</v>
      </c>
    </row>
    <row r="109" spans="1:5" x14ac:dyDescent="0.45">
      <c r="A109">
        <v>107</v>
      </c>
      <c r="B109" s="2" t="s">
        <v>12</v>
      </c>
      <c r="C109" s="1">
        <v>45261</v>
      </c>
      <c r="D109" s="2">
        <v>0</v>
      </c>
      <c r="E109" s="2">
        <v>0</v>
      </c>
    </row>
    <row r="110" spans="1:5" x14ac:dyDescent="0.45">
      <c r="A110">
        <v>108</v>
      </c>
      <c r="B110" s="2" t="s">
        <v>16</v>
      </c>
      <c r="C110" s="1">
        <v>44927</v>
      </c>
      <c r="D110" s="2">
        <v>0</v>
      </c>
      <c r="E110" s="2">
        <v>0</v>
      </c>
    </row>
    <row r="111" spans="1:5" x14ac:dyDescent="0.45">
      <c r="A111">
        <v>109</v>
      </c>
      <c r="B111" s="2" t="s">
        <v>16</v>
      </c>
      <c r="C111" s="1">
        <v>44958</v>
      </c>
      <c r="D111" s="2">
        <v>0</v>
      </c>
      <c r="E111" s="2">
        <v>0</v>
      </c>
    </row>
    <row r="112" spans="1:5" x14ac:dyDescent="0.45">
      <c r="A112">
        <v>110</v>
      </c>
      <c r="B112" s="2" t="s">
        <v>16</v>
      </c>
      <c r="C112" s="1">
        <v>44986</v>
      </c>
      <c r="D112" s="2">
        <v>0</v>
      </c>
      <c r="E112" s="2">
        <v>0</v>
      </c>
    </row>
    <row r="113" spans="1:5" x14ac:dyDescent="0.45">
      <c r="A113">
        <v>111</v>
      </c>
      <c r="B113" s="2" t="s">
        <v>16</v>
      </c>
      <c r="C113" s="1">
        <v>45017</v>
      </c>
      <c r="D113" s="2">
        <v>0</v>
      </c>
      <c r="E113" s="2">
        <v>0</v>
      </c>
    </row>
    <row r="114" spans="1:5" x14ac:dyDescent="0.45">
      <c r="A114">
        <v>112</v>
      </c>
      <c r="B114" s="2" t="s">
        <v>16</v>
      </c>
      <c r="C114" s="1">
        <v>45047</v>
      </c>
      <c r="D114" s="2">
        <v>0</v>
      </c>
      <c r="E114" s="2">
        <v>0</v>
      </c>
    </row>
    <row r="115" spans="1:5" x14ac:dyDescent="0.45">
      <c r="A115">
        <v>113</v>
      </c>
      <c r="B115" s="2" t="s">
        <v>16</v>
      </c>
      <c r="C115" s="1">
        <v>45078</v>
      </c>
      <c r="D115" s="2">
        <v>0</v>
      </c>
      <c r="E115" s="2">
        <v>0</v>
      </c>
    </row>
    <row r="116" spans="1:5" x14ac:dyDescent="0.45">
      <c r="A116">
        <v>114</v>
      </c>
      <c r="B116" s="2" t="s">
        <v>16</v>
      </c>
      <c r="C116" s="1">
        <v>45108</v>
      </c>
      <c r="D116" s="2">
        <v>0</v>
      </c>
      <c r="E116" s="2">
        <v>0</v>
      </c>
    </row>
    <row r="117" spans="1:5" x14ac:dyDescent="0.45">
      <c r="A117">
        <v>115</v>
      </c>
      <c r="B117" s="2" t="s">
        <v>16</v>
      </c>
      <c r="C117" s="1">
        <v>45139</v>
      </c>
      <c r="D117" s="2">
        <v>0</v>
      </c>
      <c r="E117" s="2">
        <v>0</v>
      </c>
    </row>
    <row r="118" spans="1:5" x14ac:dyDescent="0.45">
      <c r="A118">
        <v>116</v>
      </c>
      <c r="B118" s="2" t="s">
        <v>16</v>
      </c>
      <c r="C118" s="1">
        <v>45170</v>
      </c>
      <c r="D118" s="2">
        <v>0</v>
      </c>
      <c r="E118" s="2">
        <v>0</v>
      </c>
    </row>
    <row r="119" spans="1:5" x14ac:dyDescent="0.45">
      <c r="A119">
        <v>117</v>
      </c>
      <c r="B119" s="2" t="s">
        <v>16</v>
      </c>
      <c r="C119" s="1">
        <v>45200</v>
      </c>
      <c r="D119" s="2">
        <v>0</v>
      </c>
      <c r="E119" s="2">
        <v>0</v>
      </c>
    </row>
    <row r="120" spans="1:5" x14ac:dyDescent="0.45">
      <c r="A120">
        <v>118</v>
      </c>
      <c r="B120" s="2" t="s">
        <v>16</v>
      </c>
      <c r="C120" s="1">
        <v>45231</v>
      </c>
      <c r="D120" s="2">
        <v>0</v>
      </c>
      <c r="E120" s="2">
        <v>0</v>
      </c>
    </row>
    <row r="121" spans="1:5" x14ac:dyDescent="0.45">
      <c r="A121">
        <v>119</v>
      </c>
      <c r="B121" s="2" t="s">
        <v>16</v>
      </c>
      <c r="C121" s="1">
        <v>45261</v>
      </c>
      <c r="D121" s="2">
        <v>0</v>
      </c>
      <c r="E121" s="2">
        <v>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6849-C27D-40DD-AC35-4D52BD5B84A9}">
  <dimension ref="B5:D39"/>
  <sheetViews>
    <sheetView topLeftCell="A19" zoomScale="70" zoomScaleNormal="70" workbookViewId="0">
      <selection activeCell="E45" sqref="E45"/>
    </sheetView>
  </sheetViews>
  <sheetFormatPr defaultRowHeight="14.25" x14ac:dyDescent="0.45"/>
  <cols>
    <col min="1" max="1" width="10.19921875" bestFit="1" customWidth="1"/>
    <col min="2" max="2" width="27.73046875" bestFit="1" customWidth="1"/>
    <col min="3" max="3" width="31.796875" customWidth="1"/>
    <col min="4" max="4" width="27.86328125" bestFit="1" customWidth="1"/>
  </cols>
  <sheetData>
    <row r="5" spans="2:4" x14ac:dyDescent="0.45">
      <c r="B5" s="12" t="s">
        <v>4</v>
      </c>
      <c r="C5" s="13" t="s">
        <v>7</v>
      </c>
      <c r="D5" s="8" t="s">
        <v>2</v>
      </c>
    </row>
    <row r="6" spans="2:4" x14ac:dyDescent="0.45">
      <c r="B6" s="14">
        <v>4</v>
      </c>
      <c r="C6" s="15" t="s">
        <v>12</v>
      </c>
      <c r="D6" s="16">
        <v>0</v>
      </c>
    </row>
    <row r="7" spans="2:4" x14ac:dyDescent="0.45">
      <c r="B7" s="14">
        <v>8</v>
      </c>
      <c r="C7" s="15" t="s">
        <v>16</v>
      </c>
      <c r="D7" s="16">
        <v>0</v>
      </c>
    </row>
    <row r="8" spans="2:4" x14ac:dyDescent="0.45">
      <c r="B8" s="14">
        <v>9</v>
      </c>
      <c r="C8" s="15" t="s">
        <v>17</v>
      </c>
      <c r="D8" s="16">
        <v>0</v>
      </c>
    </row>
    <row r="9" spans="2:4" x14ac:dyDescent="0.45">
      <c r="B9" s="14">
        <v>2</v>
      </c>
      <c r="C9" s="15" t="s">
        <v>10</v>
      </c>
      <c r="D9" s="16">
        <v>2.2834305362921099E-2</v>
      </c>
    </row>
    <row r="10" spans="2:4" x14ac:dyDescent="0.45">
      <c r="B10" s="14">
        <v>3</v>
      </c>
      <c r="C10" s="15" t="s">
        <v>11</v>
      </c>
      <c r="D10" s="16">
        <v>0.20520815953981</v>
      </c>
    </row>
    <row r="11" spans="2:4" x14ac:dyDescent="0.45">
      <c r="B11" s="14">
        <v>1</v>
      </c>
      <c r="C11" s="15" t="s">
        <v>9</v>
      </c>
      <c r="D11" s="16">
        <v>0.218169346537363</v>
      </c>
    </row>
    <row r="12" spans="2:4" x14ac:dyDescent="0.45">
      <c r="B12" s="14">
        <v>6</v>
      </c>
      <c r="C12" s="15" t="s">
        <v>14</v>
      </c>
      <c r="D12" s="16">
        <v>0.26404458016404397</v>
      </c>
    </row>
    <row r="13" spans="2:4" x14ac:dyDescent="0.45">
      <c r="B13" s="14">
        <v>5</v>
      </c>
      <c r="C13" s="15" t="s">
        <v>13</v>
      </c>
      <c r="D13" s="16">
        <v>0.27107490243246402</v>
      </c>
    </row>
    <row r="14" spans="2:4" x14ac:dyDescent="0.45">
      <c r="B14" s="14">
        <v>0</v>
      </c>
      <c r="C14" s="15" t="s">
        <v>8</v>
      </c>
      <c r="D14" s="16">
        <v>0.50544137236265196</v>
      </c>
    </row>
    <row r="15" spans="2:4" x14ac:dyDescent="0.45">
      <c r="B15" s="11">
        <v>7</v>
      </c>
      <c r="C15" s="17" t="s">
        <v>15</v>
      </c>
      <c r="D15" s="18">
        <v>0.56964008252448095</v>
      </c>
    </row>
    <row r="29" spans="2:4" x14ac:dyDescent="0.45">
      <c r="B29" s="19" t="s">
        <v>4</v>
      </c>
      <c r="C29" s="20" t="s">
        <v>7</v>
      </c>
      <c r="D29" s="21" t="s">
        <v>3</v>
      </c>
    </row>
    <row r="30" spans="2:4" x14ac:dyDescent="0.45">
      <c r="B30" s="22">
        <v>4</v>
      </c>
      <c r="C30" s="23" t="s">
        <v>12</v>
      </c>
      <c r="D30" s="24">
        <v>0</v>
      </c>
    </row>
    <row r="31" spans="2:4" x14ac:dyDescent="0.45">
      <c r="B31" s="22">
        <v>8</v>
      </c>
      <c r="C31" s="23" t="s">
        <v>16</v>
      </c>
      <c r="D31" s="24">
        <v>0</v>
      </c>
    </row>
    <row r="32" spans="2:4" x14ac:dyDescent="0.45">
      <c r="B32" s="22">
        <v>9</v>
      </c>
      <c r="C32" s="23" t="s">
        <v>17</v>
      </c>
      <c r="D32" s="24">
        <v>0</v>
      </c>
    </row>
    <row r="33" spans="2:4" x14ac:dyDescent="0.45">
      <c r="B33" s="22">
        <v>3</v>
      </c>
      <c r="C33" s="23" t="s">
        <v>11</v>
      </c>
      <c r="D33" s="24">
        <v>0</v>
      </c>
    </row>
    <row r="34" spans="2:4" x14ac:dyDescent="0.45">
      <c r="B34" s="22">
        <v>1</v>
      </c>
      <c r="C34" s="23" t="s">
        <v>9</v>
      </c>
      <c r="D34" s="24">
        <v>0</v>
      </c>
    </row>
    <row r="35" spans="2:4" x14ac:dyDescent="0.45">
      <c r="B35" s="22">
        <v>7</v>
      </c>
      <c r="C35" s="23" t="s">
        <v>15</v>
      </c>
      <c r="D35" s="24">
        <v>9.8320977716104298E-3</v>
      </c>
    </row>
    <row r="36" spans="2:4" x14ac:dyDescent="0.45">
      <c r="B36" s="22">
        <v>0</v>
      </c>
      <c r="C36" s="23" t="s">
        <v>8</v>
      </c>
      <c r="D36" s="24">
        <v>7.1155362382954404E-2</v>
      </c>
    </row>
    <row r="37" spans="2:4" x14ac:dyDescent="0.45">
      <c r="B37" s="22">
        <v>2</v>
      </c>
      <c r="C37" s="23" t="s">
        <v>10</v>
      </c>
      <c r="D37" s="24">
        <v>0.13280999284109701</v>
      </c>
    </row>
    <row r="38" spans="2:4" x14ac:dyDescent="0.45">
      <c r="B38" s="22">
        <v>5</v>
      </c>
      <c r="C38" s="23" t="s">
        <v>13</v>
      </c>
      <c r="D38" s="24">
        <v>0.14150788342641599</v>
      </c>
    </row>
    <row r="39" spans="2:4" x14ac:dyDescent="0.45">
      <c r="B39" s="25">
        <v>6</v>
      </c>
      <c r="C39" s="26" t="s">
        <v>14</v>
      </c>
      <c r="D39" s="27">
        <v>0.60497455546996004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7FC2E3-49EF-4EE4-BAC3-CC4E2E27B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Отчёт по всей компании</vt:lpstr>
      <vt:lpstr>Отчёт по сотрудникам за месяц</vt:lpstr>
      <vt:lpstr>Отчёт по сотрудникам за год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Секинаев</dc:creator>
  <cp:lastModifiedBy>Данил Секинаев</cp:lastModifiedBy>
  <dcterms:created xsi:type="dcterms:W3CDTF">2015-06-05T18:19:34Z</dcterms:created>
  <dcterms:modified xsi:type="dcterms:W3CDTF">2025-05-24T19:51:26Z</dcterms:modified>
</cp:coreProperties>
</file>